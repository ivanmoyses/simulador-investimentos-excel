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1C06E1C-BC71-458C-BBDE-09C4374042C2}" xr6:coauthVersionLast="47" xr6:coauthVersionMax="47" xr10:uidLastSave="{00000000-0000-0000-0000-000000000000}"/>
  <bookViews>
    <workbookView xWindow="-20610" yWindow="-120" windowWidth="20730" windowHeight="11160" activeTab="1" xr2:uid="{00000000-000D-0000-FFFF-FFFF00000000}"/>
  </bookViews>
  <sheets>
    <sheet name="Simulador de Investimentos" sheetId="1" r:id="rId1"/>
    <sheet name="Compra do carro" sheetId="4" r:id="rId2"/>
    <sheet name="Apoio" sheetId="2" r:id="rId3"/>
    <sheet name="Sugestão de Investimento" sheetId="3" r:id="rId4"/>
    <sheet name="FIIs Para comprar Carro" sheetId="5" r:id="rId5"/>
  </sheets>
  <definedNames>
    <definedName name="_xlnm._FilterDatabase" localSheetId="2" hidden="1">Apoio!$B$3:$E$3</definedName>
    <definedName name="_xlchart.v1.0" hidden="1">'Simulador de Investimentos'!$C$99:$C$104</definedName>
    <definedName name="_xlchart.v1.1" hidden="1">'Simulador de Investimentos'!$D$98</definedName>
    <definedName name="_xlchart.v1.2" hidden="1">'Simulador de Investimentos'!$D$99:$D$104</definedName>
    <definedName name="_xlchart.v1.3" hidden="1">'Compra do carro'!$C$43:$C$48</definedName>
    <definedName name="_xlchart.v1.4" hidden="1">'Compra do carro'!$D$42</definedName>
    <definedName name="_xlchart.v1.5" hidden="1">'Compra do carro'!$D$43:$D$48</definedName>
    <definedName name="Acumulado_Sugestao">'Simulador de Investimentos'!$E$79</definedName>
    <definedName name="Aporte">'Simulador de Investimentos'!$E$26</definedName>
    <definedName name="Dividendo_Carro">'Compra do carro'!$E$26</definedName>
    <definedName name="Objetivo_Financeiro">'Compra do carro'!$E$17</definedName>
    <definedName name="Patrimonio">'Simulador de Investimentos'!$E$29</definedName>
    <definedName name="Patrimonio_10">'Simulador de Investimentos'!$D$36</definedName>
    <definedName name="Patrimonio_2">'Simulador de Investimentos'!$D$34</definedName>
    <definedName name="Patrimonio_30">'Simulador de Investimentos'!$D$38</definedName>
    <definedName name="Patrimonio_5">'Simulador de Investimentos'!$D$35</definedName>
    <definedName name="Qtd_Anos">'Simulador de Investimentos'!$E$27</definedName>
    <definedName name="Renda_Mensal_10">'Simulador de Investimentos'!$E$36</definedName>
    <definedName name="Renda_Mensal_2">'Simulador de Investimentos'!$E$34</definedName>
    <definedName name="Renda_Mensal_20">'Simulador de Investimentos'!$E$37</definedName>
    <definedName name="Renda_Mensal_5">'Simulador de Investimentos'!$E$35</definedName>
    <definedName name="Rendimento_Carro">'Compra do carro'!$E$16</definedName>
    <definedName name="Salario">'Simulador de Investimentos'!$E$20</definedName>
    <definedName name="Salario_mes">'Compra do carro'!$E$15</definedName>
    <definedName name="Sugestao_Investimento">'Simulador de Investimentos'!$E$22</definedName>
    <definedName name="Taxa_Mensal">'Simulador de Investimentos'!$E$28</definedName>
    <definedName name="Taxa_Nova_Simulacao">'Simulador de Investimentos'!$E$78</definedName>
    <definedName name="Taxa_Rendimento">'Simulador de Investimentos'!$E$21</definedName>
    <definedName name="Taxa_rendimento_Carro">'Compra do carro'!$E$24</definedName>
    <definedName name="Tempo_para_Carro">'Compra do carro'!$E$23</definedName>
    <definedName name="Valor_Acumulado_Carro">'Compra do carro'!$E$25</definedName>
    <definedName name="Valor_para_Carro">'Compra do carro'!$E$18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1" i="4" l="1"/>
  <c r="E32" i="4"/>
  <c r="E33" i="4"/>
  <c r="E34" i="4"/>
  <c r="E35" i="4"/>
  <c r="E30" i="4"/>
  <c r="E86" i="1"/>
  <c r="E87" i="1"/>
  <c r="E88" i="1"/>
  <c r="E89" i="1"/>
  <c r="E85" i="1"/>
  <c r="E35" i="1"/>
  <c r="E36" i="1"/>
  <c r="E37" i="1"/>
  <c r="E38" i="1"/>
  <c r="E34" i="1"/>
  <c r="D44" i="4"/>
  <c r="D45" i="4"/>
  <c r="D46" i="4"/>
  <c r="E46" i="4" s="1"/>
  <c r="D47" i="4"/>
  <c r="E47" i="4" s="1"/>
  <c r="D48" i="4"/>
  <c r="E48" i="4" s="1"/>
  <c r="D43" i="4"/>
  <c r="E43" i="4" s="1"/>
  <c r="D100" i="1"/>
  <c r="E100" i="1" s="1"/>
  <c r="D101" i="1"/>
  <c r="E101" i="1" s="1"/>
  <c r="D102" i="1"/>
  <c r="E102" i="1" s="1"/>
  <c r="D103" i="1"/>
  <c r="E103" i="1" s="1"/>
  <c r="D104" i="1"/>
  <c r="E104" i="1" s="1"/>
  <c r="D99" i="1"/>
  <c r="E99" i="1" s="1"/>
  <c r="D47" i="1"/>
  <c r="D48" i="1"/>
  <c r="D49" i="1"/>
  <c r="D50" i="1"/>
  <c r="D51" i="1"/>
  <c r="D46" i="1"/>
  <c r="E44" i="4"/>
  <c r="E45" i="4"/>
  <c r="D39" i="4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D33" i="4"/>
  <c r="D34" i="4"/>
  <c r="D35" i="4"/>
  <c r="D31" i="4"/>
  <c r="D32" i="4"/>
  <c r="E18" i="4"/>
  <c r="E22" i="4" s="1"/>
  <c r="D94" i="1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D35" i="1"/>
  <c r="D36" i="1"/>
  <c r="D37" i="1"/>
  <c r="D38" i="1"/>
  <c r="D34" i="1"/>
  <c r="E29" i="1"/>
  <c r="E30" i="1" s="1"/>
  <c r="B11" i="2"/>
  <c r="B12" i="2"/>
  <c r="B13" i="2"/>
  <c r="B14" i="2"/>
  <c r="B15" i="2"/>
  <c r="B16" i="2"/>
  <c r="B17" i="2"/>
  <c r="B18" i="2"/>
  <c r="B19" i="2"/>
  <c r="B20" i="2"/>
  <c r="B21" i="2"/>
  <c r="B10" i="2"/>
  <c r="B5" i="2"/>
  <c r="B6" i="2"/>
  <c r="B7" i="2"/>
  <c r="B8" i="2"/>
  <c r="B9" i="2"/>
  <c r="B4" i="2"/>
  <c r="E22" i="1"/>
  <c r="D87" i="1" s="1"/>
  <c r="E49" i="4" l="1"/>
  <c r="E25" i="4"/>
  <c r="E26" i="4" s="1"/>
  <c r="D30" i="4"/>
  <c r="D86" i="1"/>
  <c r="D89" i="1"/>
  <c r="E76" i="1"/>
  <c r="E79" i="1" s="1"/>
  <c r="E80" i="1" s="1"/>
  <c r="D85" i="1"/>
  <c r="D88" i="1"/>
  <c r="D42" i="1"/>
  <c r="E49" i="1"/>
  <c r="E51" i="1" l="1"/>
  <c r="E48" i="1"/>
  <c r="E46" i="1"/>
  <c r="E47" i="1"/>
  <c r="E50" i="1"/>
  <c r="E52" i="1" l="1"/>
  <c r="E105" i="1"/>
</calcChain>
</file>

<file path=xl/sharedStrings.xml><?xml version="1.0" encoding="utf-8"?>
<sst xmlns="http://schemas.openxmlformats.org/spreadsheetml/2006/main" count="205" uniqueCount="43">
  <si>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</si>
  <si>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</si>
  <si>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</si>
  <si>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</si>
  <si>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</si>
  <si>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</si>
  <si>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</si>
  <si>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</si>
  <si>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</si>
  <si>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</si>
  <si>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</si>
  <si>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</si>
  <si>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</si>
  <si>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Rendimento Carteira</t>
  </si>
  <si>
    <t>Salário</t>
  </si>
  <si>
    <t>Configurações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</si>
  <si>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</si>
  <si>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</si>
  <si>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</si>
  <si>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</si>
  <si>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</si>
  <si>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</si>
  <si>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</si>
  <si>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</si>
  <si>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</si>
  <si>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</si>
  <si>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</si>
  <si>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</si>
  <si>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PERFIL</t>
  </si>
  <si>
    <t>Conservador</t>
  </si>
  <si>
    <t>CHAVE</t>
  </si>
  <si>
    <t>%</t>
  </si>
  <si>
    <t>Moderado</t>
  </si>
  <si>
    <t>Sugestão de Investimento (30% ao mês)</t>
  </si>
  <si>
    <t>Sugestão em 30% da renda</t>
  </si>
  <si>
    <t>Meta</t>
  </si>
  <si>
    <t>Sugestão de Investimento (10% ao mês)</t>
  </si>
  <si>
    <t>INVESTIMENTO PARA COMPRAR UM CARRO</t>
  </si>
  <si>
    <t>Acompanhar Evolução</t>
  </si>
  <si>
    <t>Quanto em 1 anos?</t>
  </si>
  <si>
    <t>Quanto em 3 anos?</t>
  </si>
  <si>
    <t>Quanto em 6 anos?</t>
  </si>
  <si>
    <t>Quanto em 4 anos?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</si>
</sst>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4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6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thin">
        <color theme="2"/>
      </top>
      <bottom style="medium">
        <color theme="2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/>
      <top style="medium">
        <color theme="0"/>
      </top>
      <bottom/>
      <diagonal/>
    </border>
    <border>
      <left/>
      <right/>
      <top/>
      <bottom style="medium">
        <color theme="0"/>
      </bottom>
      <diagonal/>
    </border>
    <border>
      <left style="medium">
        <color theme="1"/>
      </left>
      <right/>
      <top style="medium">
        <color theme="0"/>
      </top>
      <bottom/>
      <diagonal/>
    </border>
    <border>
      <left/>
      <right style="medium">
        <color theme="1"/>
      </right>
      <top style="medium">
        <color theme="0"/>
      </top>
      <bottom/>
      <diagonal/>
    </border>
    <border>
      <left style="medium">
        <color theme="1"/>
      </left>
      <right/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thin">
        <color indexed="64"/>
      </bottom>
      <diagonal/>
    </border>
    <border>
      <left style="medium">
        <color theme="0"/>
      </left>
      <right/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 style="thin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 style="medium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theme="0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7" borderId="0" applyNumberFormat="0" applyBorder="0" applyAlignment="0" applyProtection="0"/>
  </cellStyleXfs>
  <cellXfs count="100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4" fillId="2" borderId="0" xfId="0" applyFont="1" applyFill="1"/>
    <xf numFmtId="0" fontId="0" fillId="2" borderId="10" xfId="0" applyFill="1" applyBorder="1"/>
    <xf numFmtId="0" fontId="5" fillId="4" borderId="1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0" fontId="1" fillId="2" borderId="8" xfId="2" applyNumberFormat="1" applyFont="1" applyFill="1" applyBorder="1" applyAlignment="1">
      <alignment horizontal="center" vertical="center"/>
    </xf>
    <xf numFmtId="164" fontId="1" fillId="2" borderId="7" xfId="1" applyNumberFormat="1" applyFont="1" applyFill="1" applyBorder="1" applyAlignment="1">
      <alignment horizontal="center" vertical="center"/>
    </xf>
    <xf numFmtId="164" fontId="1" fillId="2" borderId="9" xfId="1" applyNumberFormat="1" applyFont="1" applyFill="1" applyBorder="1" applyAlignment="1">
      <alignment horizontal="center" vertical="center"/>
    </xf>
    <xf numFmtId="164" fontId="1" fillId="3" borderId="3" xfId="1" applyNumberFormat="1" applyFont="1" applyFill="1" applyBorder="1" applyAlignment="1">
      <alignment horizontal="center" vertical="center"/>
    </xf>
    <xf numFmtId="164" fontId="1" fillId="3" borderId="0" xfId="1" applyNumberFormat="1" applyFont="1" applyFill="1" applyBorder="1" applyAlignment="1">
      <alignment horizontal="center" vertical="center"/>
    </xf>
    <xf numFmtId="164" fontId="1" fillId="3" borderId="6" xfId="1" applyNumberFormat="1" applyFont="1" applyFill="1" applyBorder="1" applyAlignment="1">
      <alignment horizontal="center" vertical="center"/>
    </xf>
    <xf numFmtId="10" fontId="1" fillId="2" borderId="8" xfId="0" applyNumberFormat="1" applyFont="1" applyFill="1" applyBorder="1" applyAlignment="1">
      <alignment horizontal="center" vertical="center"/>
    </xf>
    <xf numFmtId="8" fontId="1" fillId="3" borderId="9" xfId="0" applyNumberFormat="1" applyFont="1" applyFill="1" applyBorder="1" applyAlignment="1">
      <alignment horizontal="center" vertical="center"/>
    </xf>
    <xf numFmtId="8" fontId="1" fillId="3" borderId="15" xfId="1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 indent="3"/>
    </xf>
    <xf numFmtId="0" fontId="1" fillId="3" borderId="4" xfId="0" applyFont="1" applyFill="1" applyBorder="1" applyAlignment="1">
      <alignment horizontal="left" vertical="center" indent="3"/>
    </xf>
    <xf numFmtId="0" fontId="1" fillId="3" borderId="5" xfId="0" applyFont="1" applyFill="1" applyBorder="1" applyAlignment="1">
      <alignment horizontal="left" vertical="center" indent="3"/>
    </xf>
    <xf numFmtId="0" fontId="7" fillId="7" borderId="0" xfId="3" applyFont="1" applyBorder="1"/>
    <xf numFmtId="0" fontId="1" fillId="8" borderId="0" xfId="0" applyFont="1" applyFill="1"/>
    <xf numFmtId="0" fontId="7" fillId="7" borderId="0" xfId="3" applyFont="1" applyBorder="1" applyAlignment="1">
      <alignment horizontal="center" vertical="center"/>
    </xf>
    <xf numFmtId="164" fontId="1" fillId="8" borderId="0" xfId="0" applyNumberFormat="1" applyFont="1" applyFill="1"/>
    <xf numFmtId="0" fontId="2" fillId="8" borderId="0" xfId="0" applyFont="1" applyFill="1"/>
    <xf numFmtId="164" fontId="2" fillId="8" borderId="0" xfId="0" applyNumberFormat="1" applyFont="1" applyFill="1"/>
    <xf numFmtId="0" fontId="1" fillId="2" borderId="0" xfId="0" applyFont="1" applyFill="1" applyAlignment="1">
      <alignment horizontal="center" vertical="center"/>
    </xf>
    <xf numFmtId="9" fontId="1" fillId="2" borderId="0" xfId="0" applyNumberFormat="1" applyFont="1" applyFill="1"/>
    <xf numFmtId="164" fontId="1" fillId="2" borderId="0" xfId="0" applyNumberFormat="1" applyFont="1" applyFill="1"/>
    <xf numFmtId="0" fontId="2" fillId="8" borderId="0" xfId="0" applyFont="1" applyFill="1" applyAlignment="1">
      <alignment horizontal="center" vertical="center"/>
    </xf>
    <xf numFmtId="0" fontId="7" fillId="2" borderId="17" xfId="3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0" fillId="2" borderId="18" xfId="0" applyFill="1" applyBorder="1"/>
    <xf numFmtId="0" fontId="0" fillId="2" borderId="19" xfId="0" applyFill="1" applyBorder="1"/>
    <xf numFmtId="0" fontId="2" fillId="2" borderId="19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/>
    <xf numFmtId="9" fontId="0" fillId="2" borderId="22" xfId="0" applyNumberFormat="1" applyFill="1" applyBorder="1" applyAlignment="1">
      <alignment horizontal="center" vertical="center"/>
    </xf>
    <xf numFmtId="0" fontId="0" fillId="2" borderId="23" xfId="0" applyFill="1" applyBorder="1"/>
    <xf numFmtId="0" fontId="7" fillId="2" borderId="24" xfId="3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9" fontId="0" fillId="2" borderId="25" xfId="0" applyNumberFormat="1" applyFill="1" applyBorder="1" applyAlignment="1">
      <alignment horizontal="center" vertical="center"/>
    </xf>
    <xf numFmtId="164" fontId="1" fillId="3" borderId="7" xfId="1" applyNumberFormat="1" applyFont="1" applyFill="1" applyBorder="1" applyAlignment="1">
      <alignment horizontal="center" vertical="center"/>
    </xf>
    <xf numFmtId="164" fontId="1" fillId="3" borderId="8" xfId="1" applyNumberFormat="1" applyFont="1" applyFill="1" applyBorder="1" applyAlignment="1">
      <alignment horizontal="center" vertical="center"/>
    </xf>
    <xf numFmtId="164" fontId="1" fillId="3" borderId="9" xfId="1" applyNumberFormat="1" applyFont="1" applyFill="1" applyBorder="1" applyAlignment="1">
      <alignment horizontal="center" vertical="center"/>
    </xf>
    <xf numFmtId="0" fontId="4" fillId="4" borderId="0" xfId="0" applyFont="1" applyFill="1"/>
    <xf numFmtId="0" fontId="2" fillId="2" borderId="0" xfId="0" applyFont="1" applyFill="1"/>
    <xf numFmtId="164" fontId="2" fillId="2" borderId="0" xfId="0" applyNumberFormat="1" applyFont="1" applyFill="1"/>
    <xf numFmtId="164" fontId="1" fillId="2" borderId="8" xfId="2" applyNumberFormat="1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left" vertical="center" indent="3"/>
    </xf>
    <xf numFmtId="164" fontId="1" fillId="2" borderId="0" xfId="1" applyNumberFormat="1" applyFont="1" applyFill="1" applyBorder="1" applyAlignment="1">
      <alignment horizontal="center" vertical="center"/>
    </xf>
    <xf numFmtId="164" fontId="1" fillId="2" borderId="27" xfId="1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left" vertical="center" indent="3"/>
    </xf>
    <xf numFmtId="164" fontId="1" fillId="2" borderId="29" xfId="1" applyNumberFormat="1" applyFont="1" applyFill="1" applyBorder="1" applyAlignment="1">
      <alignment horizontal="center" vertical="center"/>
    </xf>
    <xf numFmtId="164" fontId="1" fillId="2" borderId="30" xfId="1" applyNumberFormat="1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7" fillId="5" borderId="17" xfId="3" applyFont="1" applyFill="1" applyBorder="1" applyAlignment="1">
      <alignment horizontal="center" vertical="center"/>
    </xf>
    <xf numFmtId="0" fontId="7" fillId="12" borderId="17" xfId="3" applyFont="1" applyFill="1" applyBorder="1" applyAlignment="1">
      <alignment horizontal="center" vertical="center"/>
    </xf>
    <xf numFmtId="0" fontId="7" fillId="13" borderId="17" xfId="3" applyFont="1" applyFill="1" applyBorder="1" applyAlignment="1">
      <alignment horizontal="center" vertical="center"/>
    </xf>
    <xf numFmtId="0" fontId="7" fillId="13" borderId="24" xfId="3" applyFont="1" applyFill="1" applyBorder="1" applyAlignment="1">
      <alignment horizontal="center" vertical="center"/>
    </xf>
    <xf numFmtId="0" fontId="8" fillId="5" borderId="34" xfId="0" applyFont="1" applyFill="1" applyBorder="1" applyAlignment="1">
      <alignment horizontal="center" vertical="center"/>
    </xf>
    <xf numFmtId="0" fontId="8" fillId="5" borderId="35" xfId="0" applyFont="1" applyFill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0" fontId="8" fillId="5" borderId="36" xfId="0" applyFont="1" applyFill="1" applyBorder="1" applyAlignment="1">
      <alignment horizontal="center" vertical="center"/>
    </xf>
    <xf numFmtId="0" fontId="4" fillId="4" borderId="37" xfId="0" applyFont="1" applyFill="1" applyBorder="1"/>
    <xf numFmtId="0" fontId="4" fillId="4" borderId="38" xfId="0" applyFont="1" applyFill="1" applyBorder="1"/>
    <xf numFmtId="0" fontId="4" fillId="4" borderId="39" xfId="0" applyFont="1" applyFill="1" applyBorder="1"/>
    <xf numFmtId="0" fontId="10" fillId="9" borderId="40" xfId="3" applyFont="1" applyFill="1" applyBorder="1" applyAlignment="1">
      <alignment horizontal="center" vertical="center"/>
    </xf>
    <xf numFmtId="0" fontId="10" fillId="9" borderId="41" xfId="3" applyFont="1" applyFill="1" applyBorder="1" applyAlignment="1">
      <alignment horizontal="center" vertical="center"/>
    </xf>
    <xf numFmtId="0" fontId="10" fillId="10" borderId="41" xfId="3" applyFont="1" applyFill="1" applyBorder="1" applyAlignment="1">
      <alignment horizontal="center" vertical="center"/>
    </xf>
    <xf numFmtId="0" fontId="10" fillId="11" borderId="41" xfId="3" applyFont="1" applyFill="1" applyBorder="1" applyAlignment="1">
      <alignment horizontal="center" vertical="center"/>
    </xf>
    <xf numFmtId="0" fontId="10" fillId="11" borderId="42" xfId="3" applyFont="1" applyFill="1" applyBorder="1" applyAlignment="1">
      <alignment horizontal="center" vertical="center"/>
    </xf>
    <xf numFmtId="0" fontId="10" fillId="4" borderId="43" xfId="0" applyFont="1" applyFill="1" applyBorder="1" applyAlignment="1">
      <alignment horizontal="center" vertical="center"/>
    </xf>
    <xf numFmtId="0" fontId="10" fillId="4" borderId="44" xfId="0" applyFont="1" applyFill="1" applyBorder="1" applyAlignment="1">
      <alignment horizontal="center" vertical="center"/>
    </xf>
    <xf numFmtId="0" fontId="10" fillId="4" borderId="45" xfId="0" applyFont="1" applyFill="1" applyBorder="1" applyAlignment="1">
      <alignment horizontal="center" vertical="center"/>
    </xf>
    <xf numFmtId="9" fontId="4" fillId="4" borderId="40" xfId="0" applyNumberFormat="1" applyFont="1" applyFill="1" applyBorder="1" applyAlignment="1">
      <alignment horizontal="center" vertical="center"/>
    </xf>
    <xf numFmtId="9" fontId="4" fillId="4" borderId="41" xfId="0" applyNumberFormat="1" applyFont="1" applyFill="1" applyBorder="1" applyAlignment="1">
      <alignment horizontal="center" vertical="center"/>
    </xf>
    <xf numFmtId="9" fontId="4" fillId="4" borderId="42" xfId="0" applyNumberFormat="1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 indent="3"/>
    </xf>
    <xf numFmtId="0" fontId="1" fillId="3" borderId="3" xfId="0" applyFont="1" applyFill="1" applyBorder="1" applyAlignment="1">
      <alignment horizontal="left" vertical="center" indent="3"/>
    </xf>
    <xf numFmtId="0" fontId="1" fillId="3" borderId="4" xfId="0" applyFont="1" applyFill="1" applyBorder="1" applyAlignment="1">
      <alignment horizontal="left" vertical="center" indent="3"/>
    </xf>
    <xf numFmtId="0" fontId="1" fillId="3" borderId="0" xfId="0" applyFont="1" applyFill="1" applyAlignment="1">
      <alignment horizontal="left" vertical="center" indent="3"/>
    </xf>
    <xf numFmtId="0" fontId="1" fillId="3" borderId="16" xfId="0" applyFont="1" applyFill="1" applyBorder="1" applyAlignment="1">
      <alignment horizontal="left" vertical="center" indent="3"/>
    </xf>
    <xf numFmtId="0" fontId="1" fillId="3" borderId="13" xfId="0" applyFont="1" applyFill="1" applyBorder="1" applyAlignment="1">
      <alignment horizontal="left" vertical="center" indent="3"/>
    </xf>
    <xf numFmtId="0" fontId="2" fillId="3" borderId="14" xfId="0" applyFont="1" applyFill="1" applyBorder="1" applyAlignment="1">
      <alignment horizontal="left" vertical="center" indent="3"/>
    </xf>
    <xf numFmtId="0" fontId="2" fillId="3" borderId="12" xfId="0" applyFont="1" applyFill="1" applyBorder="1" applyAlignment="1">
      <alignment horizontal="left" vertical="center" indent="3"/>
    </xf>
    <xf numFmtId="0" fontId="2" fillId="3" borderId="5" xfId="0" applyFont="1" applyFill="1" applyBorder="1" applyAlignment="1">
      <alignment horizontal="left" vertical="center" indent="3"/>
    </xf>
    <xf numFmtId="0" fontId="2" fillId="3" borderId="6" xfId="0" applyFont="1" applyFill="1" applyBorder="1" applyAlignment="1">
      <alignment horizontal="left" vertical="center" indent="3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indent="3"/>
    </xf>
    <xf numFmtId="0" fontId="1" fillId="3" borderId="6" xfId="0" applyFont="1" applyFill="1" applyBorder="1" applyAlignment="1">
      <alignment horizontal="left" vertical="center" indent="3"/>
    </xf>
    <xf numFmtId="0" fontId="5" fillId="4" borderId="2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'Simulador de Investimentos'!$D$45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BB8-44A1-9422-5766710BB2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BB8-44A1-9422-5766710BB2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BB8-44A1-9422-5766710BB2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BB8-44A1-9422-5766710BB23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BB8-44A1-9422-5766710BB23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BB8-44A1-9422-5766710BB2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'Simulador de Investimentos'!$C$46:$C$51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'Simulador de Investimentos'!$D$46:$D$51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0.05</c:v>
                </c:pt>
                <c:pt idx="4">
                  <c:v>0.05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F-4420-916B-4FBDB0205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plotArea>
      <cx:plotAreaRegion>
        <cx:plotSurface>
          <cx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cx:spPr>
        </cx:plotSurface>
        <cx:series layoutId="sunburst" uniqueId="{00000000-A822-4AB9-ADE6-5284131A2D29}" formatIdx="0">
          <cx:tx>
            <cx:txData>
              <cx:f>_xlchart.v1.1</cx:f>
              <cx:v>Percentual Sugerido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plotArea>
      <cx:plotAreaRegion>
        <cx:series layoutId="treemap" uniqueId="{00000000-8729-4F08-8B8B-B78FFA477CB3}">
          <cx:tx>
            <cx:txData>
              <cx:f>_xlchart.v1.4</cx:f>
              <cx:v>Percentual Sugerido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23132</xdr:colOff>
      <xdr:row>1</xdr:row>
      <xdr:rowOff>134710</xdr:rowOff>
    </xdr:from>
    <xdr:to>
      <xdr:col>5</xdr:col>
      <xdr:colOff>353786</xdr:colOff>
      <xdr:row>15</xdr:row>
      <xdr:rowOff>54429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06EEBF6-2C76-196A-25B1-FC406B430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987"/>
        <a:stretch>
          <a:fillRect/>
        </a:stretch>
      </xdr:blipFill>
      <xdr:spPr>
        <a:xfrm>
          <a:off x="635453" y="325210"/>
          <a:ext cx="8005083" cy="2586719"/>
        </a:xfrm>
        <a:prstGeom prst="rect">
          <a:avLst/>
        </a:prstGeom>
      </xdr:spPr>
    </xdr:pic>
    <xdr:clientData/>
  </xdr:twoCellAnchor>
  <xdr:twoCellAnchor>
    <xdr:from>
      <xdr:col>2</xdr:col>
      <xdr:colOff>326571</xdr:colOff>
      <xdr:row>52</xdr:row>
      <xdr:rowOff>40822</xdr:rowOff>
    </xdr:from>
    <xdr:to>
      <xdr:col>4</xdr:col>
      <xdr:colOff>1156607</xdr:colOff>
      <xdr:row>71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56E237F-031E-725B-2578-A3D29310E6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367392</xdr:colOff>
      <xdr:row>107</xdr:row>
      <xdr:rowOff>-1</xdr:rowOff>
    </xdr:from>
    <xdr:to>
      <xdr:col>4</xdr:col>
      <xdr:colOff>1170214</xdr:colOff>
      <xdr:row>129</xdr:row>
      <xdr:rowOff>54429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AFA6651A-93DE-039C-2202-B36C7CCD62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7517" y="24793574"/>
              <a:ext cx="6422572" cy="42454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80733</xdr:rowOff>
    </xdr:from>
    <xdr:to>
      <xdr:col>5</xdr:col>
      <xdr:colOff>358588</xdr:colOff>
      <xdr:row>11</xdr:row>
      <xdr:rowOff>57151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6FFC2F6-6B54-4376-8650-294C5C051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987"/>
        <a:stretch>
          <a:fillRect/>
        </a:stretch>
      </xdr:blipFill>
      <xdr:spPr>
        <a:xfrm>
          <a:off x="605119" y="271233"/>
          <a:ext cx="5815852" cy="1881418"/>
        </a:xfrm>
        <a:prstGeom prst="rect">
          <a:avLst/>
        </a:prstGeom>
      </xdr:spPr>
    </xdr:pic>
    <xdr:clientData/>
  </xdr:twoCellAnchor>
  <xdr:twoCellAnchor>
    <xdr:from>
      <xdr:col>2</xdr:col>
      <xdr:colOff>212911</xdr:colOff>
      <xdr:row>51</xdr:row>
      <xdr:rowOff>56028</xdr:rowOff>
    </xdr:from>
    <xdr:to>
      <xdr:col>4</xdr:col>
      <xdr:colOff>808023</xdr:colOff>
      <xdr:row>66</xdr:row>
      <xdr:rowOff>165365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4AF2A0C4-F538-7612-4ECA-CCDB15225F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2511" y="11505078"/>
              <a:ext cx="4967087" cy="29668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31"/>
  <sheetViews>
    <sheetView showGridLines="0" showRowColHeaders="0" topLeftCell="A70" zoomScale="70" zoomScaleNormal="70" workbookViewId="0">
      <selection activeCell="E78" sqref="E78"/>
    </sheetView>
  </sheetViews>
  <sheetFormatPr defaultColWidth="0" defaultRowHeight="15" zeroHeight="1" x14ac:dyDescent="0.25"/>
  <cols>
    <col min="1" max="1" width="9.140625" style="1" customWidth="1"/>
    <col min="2" max="2" width="5.85546875" style="1" customWidth="1"/>
    <col min="3" max="3" width="56.140625" style="1" customWidth="1"/>
    <col min="4" max="4" width="28.140625" style="1" customWidth="1"/>
    <col min="5" max="5" width="24.85546875" style="1" customWidth="1"/>
    <col min="6" max="6" width="11.85546875" style="1" customWidth="1"/>
    <col min="7" max="7" width="3" style="1" customWidth="1"/>
    <col min="8" max="10" width="0" style="1" hidden="1"/>
    <col min="11" max="16382" width="9.140625" style="1" hidden="1"/>
    <col min="16383" max="16383" width="9.140625" style="1" hidden="1" customWidth="1"/>
    <col min="16384" max="16384" width="2" style="1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spans="3:5" x14ac:dyDescent="0.25"/>
    <row r="18" spans="3:5" ht="15.75" thickBot="1" x14ac:dyDescent="0.3"/>
    <row r="19" spans="3:5" ht="45" customHeight="1" thickBot="1" x14ac:dyDescent="0.3">
      <c r="C19" s="93" t="s">
        <v>15</v>
      </c>
      <c r="D19" s="94"/>
      <c r="E19" s="95"/>
    </row>
    <row r="20" spans="3:5" ht="18.75" x14ac:dyDescent="0.25">
      <c r="C20" s="83" t="s">
        <v>14</v>
      </c>
      <c r="D20" s="84"/>
      <c r="E20" s="9">
        <v>8000</v>
      </c>
    </row>
    <row r="21" spans="3:5" ht="18.75" x14ac:dyDescent="0.25">
      <c r="C21" s="85" t="s">
        <v>13</v>
      </c>
      <c r="D21" s="86"/>
      <c r="E21" s="8">
        <v>8.8999999999999999E-3</v>
      </c>
    </row>
    <row r="22" spans="3:5" ht="19.5" thickBot="1" x14ac:dyDescent="0.3">
      <c r="C22" s="96" t="s">
        <v>33</v>
      </c>
      <c r="D22" s="97"/>
      <c r="E22" s="10">
        <f>E20*30%</f>
        <v>2400</v>
      </c>
    </row>
    <row r="23" spans="3:5" x14ac:dyDescent="0.25"/>
    <row r="24" spans="3:5" ht="17.25" customHeight="1" thickBot="1" x14ac:dyDescent="0.3"/>
    <row r="25" spans="3:5" ht="42" customHeight="1" thickBot="1" x14ac:dyDescent="0.3">
      <c r="C25" s="80" t="s">
        <v>0</v>
      </c>
      <c r="D25" s="81"/>
      <c r="E25" s="82"/>
    </row>
    <row r="26" spans="3:5" s="3" customFormat="1" ht="21" customHeight="1" x14ac:dyDescent="0.3">
      <c r="C26" s="83" t="s">
        <v>1</v>
      </c>
      <c r="D26" s="84"/>
      <c r="E26" s="9">
        <v>500</v>
      </c>
    </row>
    <row r="27" spans="3:5" s="3" customFormat="1" ht="21" customHeight="1" x14ac:dyDescent="0.3">
      <c r="C27" s="85" t="s">
        <v>2</v>
      </c>
      <c r="D27" s="86"/>
      <c r="E27" s="7">
        <v>5</v>
      </c>
    </row>
    <row r="28" spans="3:5" s="3" customFormat="1" ht="21" customHeight="1" thickBot="1" x14ac:dyDescent="0.35">
      <c r="C28" s="87" t="s">
        <v>3</v>
      </c>
      <c r="D28" s="88"/>
      <c r="E28" s="14">
        <v>1.078E-2</v>
      </c>
    </row>
    <row r="29" spans="3:5" s="3" customFormat="1" ht="21" customHeight="1" x14ac:dyDescent="0.3">
      <c r="C29" s="89" t="s">
        <v>4</v>
      </c>
      <c r="D29" s="90"/>
      <c r="E29" s="16">
        <f>FV(Taxa_Mensal,Qtd_Anos*12,Aporte*-1)</f>
        <v>41874.909772441417</v>
      </c>
    </row>
    <row r="30" spans="3:5" s="3" customFormat="1" ht="21" customHeight="1" thickBot="1" x14ac:dyDescent="0.35">
      <c r="C30" s="91" t="s">
        <v>5</v>
      </c>
      <c r="D30" s="92"/>
      <c r="E30" s="15">
        <f>Patrimonio*Taxa_Mensal</f>
        <v>451.41152734691843</v>
      </c>
    </row>
    <row r="31" spans="3:5" ht="15.75" thickBot="1" x14ac:dyDescent="0.3"/>
    <row r="32" spans="3:5" ht="15.75" thickBot="1" x14ac:dyDescent="0.3">
      <c r="C32" s="2"/>
    </row>
    <row r="33" spans="1:9" ht="57" customHeight="1" thickBot="1" x14ac:dyDescent="0.3">
      <c r="C33" s="98" t="s">
        <v>11</v>
      </c>
      <c r="D33" s="99"/>
      <c r="E33" s="6" t="s">
        <v>12</v>
      </c>
    </row>
    <row r="34" spans="1:9" ht="19.5" thickBot="1" x14ac:dyDescent="0.3">
      <c r="A34" s="4">
        <v>2</v>
      </c>
      <c r="C34" s="17" t="s">
        <v>6</v>
      </c>
      <c r="D34" s="11">
        <f>FV(Taxa_Mensal,A34*12,Aporte*-1)</f>
        <v>13612.195707295694</v>
      </c>
      <c r="E34" s="42">
        <f>D34*Taxa_Mensal</f>
        <v>146.73946972464756</v>
      </c>
      <c r="I34" s="5"/>
    </row>
    <row r="35" spans="1:9" ht="18.75" x14ac:dyDescent="0.25">
      <c r="A35" s="4">
        <v>5</v>
      </c>
      <c r="C35" s="18" t="s">
        <v>7</v>
      </c>
      <c r="D35" s="12">
        <f>FV(Taxa_Mensal,A35*12,Aporte*-1)</f>
        <v>41874.909772441417</v>
      </c>
      <c r="E35" s="43">
        <f>D35*Taxa_Mensal</f>
        <v>451.41152734691843</v>
      </c>
    </row>
    <row r="36" spans="1:9" ht="18.75" x14ac:dyDescent="0.25">
      <c r="A36" s="4">
        <v>10</v>
      </c>
      <c r="C36" s="18" t="s">
        <v>8</v>
      </c>
      <c r="D36" s="12">
        <f>FV(Taxa_Mensal,A36*12,Aporte*-1)</f>
        <v>121555.45350066722</v>
      </c>
      <c r="E36" s="43">
        <f>D36*Taxa_Mensal</f>
        <v>1310.3677887371925</v>
      </c>
    </row>
    <row r="37" spans="1:9" ht="18.75" x14ac:dyDescent="0.25">
      <c r="A37" s="4">
        <v>20</v>
      </c>
      <c r="C37" s="18" t="s">
        <v>9</v>
      </c>
      <c r="D37" s="12">
        <f>FV(Taxa_Mensal,A37*12,Aporte*-1)</f>
        <v>561675.60862656636</v>
      </c>
      <c r="E37" s="43">
        <f>D37*Taxa_Mensal</f>
        <v>6054.8630609943848</v>
      </c>
    </row>
    <row r="38" spans="1:9" ht="19.5" thickBot="1" x14ac:dyDescent="0.3">
      <c r="A38" s="4">
        <v>30</v>
      </c>
      <c r="C38" s="19" t="s">
        <v>10</v>
      </c>
      <c r="D38" s="13">
        <f>FV(Taxa_Mensal,A38*12,Aporte*-1)</f>
        <v>2155234.3126544547</v>
      </c>
      <c r="E38" s="44">
        <f>D38*Taxa_Mensal</f>
        <v>23233.425890415023</v>
      </c>
    </row>
    <row r="39" spans="1:9" x14ac:dyDescent="0.25"/>
    <row r="40" spans="1:9" x14ac:dyDescent="0.25"/>
    <row r="41" spans="1:9" s="3" customFormat="1" ht="19.5" customHeight="1" x14ac:dyDescent="0.3">
      <c r="C41" s="20" t="s">
        <v>16</v>
      </c>
      <c r="D41" s="22" t="s">
        <v>29</v>
      </c>
      <c r="E41" s="20"/>
    </row>
    <row r="42" spans="1:9" s="3" customFormat="1" ht="19.5" customHeight="1" x14ac:dyDescent="0.3">
      <c r="C42" s="24" t="s">
        <v>18</v>
      </c>
      <c r="D42" s="25">
        <f>Aporte</f>
        <v>500</v>
      </c>
      <c r="E42" s="21"/>
    </row>
    <row r="43" spans="1:9" s="3" customFormat="1" ht="19.5" customHeight="1" x14ac:dyDescent="0.3"/>
    <row r="44" spans="1:9" s="3" customFormat="1" ht="19.5" customHeight="1" x14ac:dyDescent="0.3"/>
    <row r="45" spans="1:9" s="3" customFormat="1" ht="19.5" customHeight="1" x14ac:dyDescent="0.3">
      <c r="C45" s="29" t="s">
        <v>19</v>
      </c>
      <c r="D45" s="29" t="s">
        <v>20</v>
      </c>
      <c r="E45" s="29" t="s">
        <v>21</v>
      </c>
    </row>
    <row r="46" spans="1:9" s="3" customFormat="1" ht="19.5" customHeight="1" x14ac:dyDescent="0.3">
      <c r="C46" s="26" t="s">
        <v>22</v>
      </c>
      <c r="D46" s="27">
        <f>VLOOKUP($D$41&amp;"-"&amp;C46,Apoio!$B:$E,4,FALSE)</f>
        <v>0.3</v>
      </c>
      <c r="E46" s="28">
        <f>D46*$D$42</f>
        <v>150</v>
      </c>
    </row>
    <row r="47" spans="1:9" s="3" customFormat="1" ht="19.5" customHeight="1" x14ac:dyDescent="0.3">
      <c r="C47" s="26" t="s">
        <v>23</v>
      </c>
      <c r="D47" s="27">
        <f>VLOOKUP($D$41&amp;"-"&amp;C47,Apoio!$B:$E,4,FALSE)</f>
        <v>0.5</v>
      </c>
      <c r="E47" s="28">
        <f t="shared" ref="E47:E51" si="0">D47*$D$42</f>
        <v>250</v>
      </c>
    </row>
    <row r="48" spans="1:9" s="3" customFormat="1" ht="19.5" customHeight="1" x14ac:dyDescent="0.3">
      <c r="C48" s="26" t="s">
        <v>24</v>
      </c>
      <c r="D48" s="27">
        <f>VLOOKUP($D$41&amp;"-"&amp;C48,Apoio!$B:$E,4,FALSE)</f>
        <v>0.1</v>
      </c>
      <c r="E48" s="28">
        <f t="shared" si="0"/>
        <v>50</v>
      </c>
    </row>
    <row r="49" spans="3:5" s="3" customFormat="1" ht="19.5" customHeight="1" x14ac:dyDescent="0.3">
      <c r="C49" s="26" t="s">
        <v>25</v>
      </c>
      <c r="D49" s="27">
        <f>VLOOKUP($D$41&amp;"-"&amp;C49,Apoio!$B:$E,4,FALSE)</f>
        <v>0.05</v>
      </c>
      <c r="E49" s="28">
        <f t="shared" si="0"/>
        <v>25</v>
      </c>
    </row>
    <row r="50" spans="3:5" s="3" customFormat="1" ht="19.5" customHeight="1" x14ac:dyDescent="0.3">
      <c r="C50" s="26" t="s">
        <v>26</v>
      </c>
      <c r="D50" s="27">
        <f>VLOOKUP($D$41&amp;"-"&amp;C50,Apoio!$B:$E,4,FALSE)</f>
        <v>0.05</v>
      </c>
      <c r="E50" s="28">
        <f t="shared" si="0"/>
        <v>25</v>
      </c>
    </row>
    <row r="51" spans="3:5" s="3" customFormat="1" ht="19.5" customHeight="1" x14ac:dyDescent="0.3">
      <c r="C51" s="26" t="s">
        <v>27</v>
      </c>
      <c r="D51" s="27">
        <f>VLOOKUP($D$41&amp;"-"&amp;C51,Apoio!$B:$E,4,FALSE)</f>
        <v>0</v>
      </c>
      <c r="E51" s="28">
        <f t="shared" si="0"/>
        <v>0</v>
      </c>
    </row>
    <row r="52" spans="3:5" s="3" customFormat="1" ht="19.5" customHeight="1" x14ac:dyDescent="0.3">
      <c r="C52" s="21"/>
      <c r="D52" s="21"/>
      <c r="E52" s="23">
        <f>SUM(E46:E51)</f>
        <v>500</v>
      </c>
    </row>
    <row r="53" spans="3:5" s="3" customFormat="1" ht="19.5" customHeight="1" x14ac:dyDescent="0.3"/>
    <row r="54" spans="3:5" s="3" customFormat="1" ht="19.5" customHeight="1" x14ac:dyDescent="0.3"/>
    <row r="55" spans="3:5" s="3" customFormat="1" ht="19.5" customHeight="1" x14ac:dyDescent="0.3"/>
    <row r="56" spans="3:5" s="3" customFormat="1" ht="19.5" customHeight="1" x14ac:dyDescent="0.3"/>
    <row r="57" spans="3:5" s="3" customFormat="1" ht="19.5" customHeight="1" x14ac:dyDescent="0.3"/>
    <row r="58" spans="3:5" s="3" customFormat="1" ht="18.75" x14ac:dyDescent="0.3"/>
    <row r="59" spans="3:5" s="3" customFormat="1" ht="18.75" x14ac:dyDescent="0.3"/>
    <row r="60" spans="3:5" s="3" customFormat="1" ht="18.75" x14ac:dyDescent="0.3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ht="15.75" thickBot="1" x14ac:dyDescent="0.3"/>
    <row r="75" spans="3:5" ht="21.75" thickBot="1" x14ac:dyDescent="0.3">
      <c r="C75" s="80" t="s">
        <v>34</v>
      </c>
      <c r="D75" s="81"/>
      <c r="E75" s="82"/>
    </row>
    <row r="76" spans="3:5" ht="18.75" x14ac:dyDescent="0.25">
      <c r="C76" s="83" t="s">
        <v>1</v>
      </c>
      <c r="D76" s="84"/>
      <c r="E76" s="9">
        <f>Sugestao_Investimento</f>
        <v>2400</v>
      </c>
    </row>
    <row r="77" spans="3:5" ht="18.75" x14ac:dyDescent="0.25">
      <c r="C77" s="85" t="s">
        <v>2</v>
      </c>
      <c r="D77" s="86"/>
      <c r="E77" s="7">
        <v>5</v>
      </c>
    </row>
    <row r="78" spans="3:5" ht="19.5" thickBot="1" x14ac:dyDescent="0.3">
      <c r="C78" s="87" t="s">
        <v>3</v>
      </c>
      <c r="D78" s="88"/>
      <c r="E78" s="14">
        <v>1.078E-2</v>
      </c>
    </row>
    <row r="79" spans="3:5" ht="18.75" x14ac:dyDescent="0.25">
      <c r="C79" s="89" t="s">
        <v>4</v>
      </c>
      <c r="D79" s="90"/>
      <c r="E79" s="16">
        <f>FV(Taxa_Nova_Simulacao,E77*12,E76*-1)</f>
        <v>200999.56690771881</v>
      </c>
    </row>
    <row r="80" spans="3:5" ht="19.5" thickBot="1" x14ac:dyDescent="0.3">
      <c r="C80" s="91" t="s">
        <v>5</v>
      </c>
      <c r="D80" s="92"/>
      <c r="E80" s="15">
        <f>Acumulado_Sugestao*Taxa_Nova_Simulacao</f>
        <v>2166.7753312652085</v>
      </c>
    </row>
    <row r="81" spans="1:5" x14ac:dyDescent="0.25"/>
    <row r="82" spans="1:5" x14ac:dyDescent="0.25"/>
    <row r="83" spans="1:5" ht="15.75" thickBot="1" x14ac:dyDescent="0.3"/>
    <row r="84" spans="1:5" ht="21.75" thickBot="1" x14ac:dyDescent="0.3">
      <c r="C84" s="98" t="s">
        <v>11</v>
      </c>
      <c r="D84" s="99"/>
      <c r="E84" s="6" t="s">
        <v>12</v>
      </c>
    </row>
    <row r="85" spans="1:5" ht="18.75" x14ac:dyDescent="0.25">
      <c r="A85" s="4">
        <v>2</v>
      </c>
      <c r="C85" s="17" t="s">
        <v>6</v>
      </c>
      <c r="D85" s="11">
        <f>FV(Taxa_Nova_Simulacao,A85*12,Sugestao_Investimento*-1)</f>
        <v>65338.539395019332</v>
      </c>
      <c r="E85" s="42">
        <f>D85*Taxa_Nova_Simulacao</f>
        <v>704.34945467830835</v>
      </c>
    </row>
    <row r="86" spans="1:5" ht="18.75" x14ac:dyDescent="0.25">
      <c r="A86" s="4">
        <v>5</v>
      </c>
      <c r="C86" s="18" t="s">
        <v>7</v>
      </c>
      <c r="D86" s="12">
        <f>FV(Taxa_Nova_Simulacao,A86*12,Sugestao_Investimento*-1)</f>
        <v>200999.56690771881</v>
      </c>
      <c r="E86" s="43">
        <f>D86*Taxa_Nova_Simulacao</f>
        <v>2166.7753312652085</v>
      </c>
    </row>
    <row r="87" spans="1:5" ht="18.75" x14ac:dyDescent="0.25">
      <c r="A87" s="4">
        <v>10</v>
      </c>
      <c r="C87" s="18" t="s">
        <v>8</v>
      </c>
      <c r="D87" s="12">
        <f>FV(Taxa_Nova_Simulacao,A87*12,Sugestao_Investimento*-1)</f>
        <v>583466.17680320272</v>
      </c>
      <c r="E87" s="43">
        <f>D87*Taxa_Nova_Simulacao</f>
        <v>6289.7653859385255</v>
      </c>
    </row>
    <row r="88" spans="1:5" ht="18.75" x14ac:dyDescent="0.25">
      <c r="A88" s="4">
        <v>20</v>
      </c>
      <c r="C88" s="18" t="s">
        <v>9</v>
      </c>
      <c r="D88" s="12">
        <f>FV(Taxa_Nova_Simulacao,A88*12,Sugestao_Investimento*-1)</f>
        <v>2696042.9214075184</v>
      </c>
      <c r="E88" s="43">
        <f>D88*Taxa_Nova_Simulacao</f>
        <v>29063.342692773047</v>
      </c>
    </row>
    <row r="89" spans="1:5" ht="19.5" thickBot="1" x14ac:dyDescent="0.3">
      <c r="A89" s="4">
        <v>30</v>
      </c>
      <c r="C89" s="19" t="s">
        <v>10</v>
      </c>
      <c r="D89" s="13">
        <f>FV(Taxa_Nova_Simulacao,A89*12,Sugestao_Investimento*-1)</f>
        <v>10345124.700741382</v>
      </c>
      <c r="E89" s="44">
        <f>D89*Taxa_Nova_Simulacao</f>
        <v>111520.44427399209</v>
      </c>
    </row>
    <row r="90" spans="1:5" x14ac:dyDescent="0.25"/>
    <row r="91" spans="1:5" x14ac:dyDescent="0.25"/>
    <row r="92" spans="1:5" x14ac:dyDescent="0.25"/>
    <row r="93" spans="1:5" s="3" customFormat="1" ht="19.5" customHeight="1" x14ac:dyDescent="0.3">
      <c r="C93" s="20" t="s">
        <v>16</v>
      </c>
      <c r="D93" s="22" t="s">
        <v>29</v>
      </c>
      <c r="E93" s="20"/>
    </row>
    <row r="94" spans="1:5" s="3" customFormat="1" ht="19.5" customHeight="1" x14ac:dyDescent="0.3">
      <c r="C94" s="24" t="s">
        <v>18</v>
      </c>
      <c r="D94" s="25">
        <f>E76</f>
        <v>2400</v>
      </c>
      <c r="E94" s="21"/>
    </row>
    <row r="95" spans="1:5" s="3" customFormat="1" ht="15" customHeight="1" x14ac:dyDescent="0.3">
      <c r="C95" s="46"/>
      <c r="D95" s="47"/>
    </row>
    <row r="96" spans="1:5" s="3" customFormat="1" ht="15" customHeight="1" x14ac:dyDescent="0.3">
      <c r="C96" s="46"/>
      <c r="D96" s="47"/>
    </row>
    <row r="97" spans="3:5" s="3" customFormat="1" ht="15" customHeight="1" x14ac:dyDescent="0.3">
      <c r="C97" s="46"/>
      <c r="D97" s="47"/>
    </row>
    <row r="98" spans="3:5" ht="18.75" x14ac:dyDescent="0.25">
      <c r="C98" s="29" t="s">
        <v>19</v>
      </c>
      <c r="D98" s="29" t="s">
        <v>20</v>
      </c>
      <c r="E98" s="29" t="s">
        <v>21</v>
      </c>
    </row>
    <row r="99" spans="3:5" ht="18.75" x14ac:dyDescent="0.3">
      <c r="C99" s="26" t="s">
        <v>22</v>
      </c>
      <c r="D99" s="27">
        <f>VLOOKUP($D$93&amp;"-"&amp;C99,'Sugestão de Investimento'!B:E,4,FALSE)</f>
        <v>0.35</v>
      </c>
      <c r="E99" s="28">
        <f>D99*$D$94</f>
        <v>840</v>
      </c>
    </row>
    <row r="100" spans="3:5" ht="18.75" x14ac:dyDescent="0.3">
      <c r="C100" s="26" t="s">
        <v>23</v>
      </c>
      <c r="D100" s="27">
        <f>VLOOKUP($D$93&amp;"-"&amp;C100,'Sugestão de Investimento'!B:E,4,FALSE)</f>
        <v>0.35</v>
      </c>
      <c r="E100" s="28">
        <f t="shared" ref="E100:E104" si="1">D100*$D$94</f>
        <v>840</v>
      </c>
    </row>
    <row r="101" spans="3:5" ht="18.75" x14ac:dyDescent="0.3">
      <c r="C101" s="26" t="s">
        <v>24</v>
      </c>
      <c r="D101" s="27">
        <f>VLOOKUP($D$93&amp;"-"&amp;C101,'Sugestão de Investimento'!B:E,4,FALSE)</f>
        <v>0.1</v>
      </c>
      <c r="E101" s="28">
        <f t="shared" si="1"/>
        <v>240</v>
      </c>
    </row>
    <row r="102" spans="3:5" ht="18.75" x14ac:dyDescent="0.3">
      <c r="C102" s="26" t="s">
        <v>25</v>
      </c>
      <c r="D102" s="27">
        <f>VLOOKUP($D$93&amp;"-"&amp;C102,'Sugestão de Investimento'!B:E,4,FALSE)</f>
        <v>0.05</v>
      </c>
      <c r="E102" s="28">
        <f t="shared" si="1"/>
        <v>120</v>
      </c>
    </row>
    <row r="103" spans="3:5" ht="18.75" x14ac:dyDescent="0.3">
      <c r="C103" s="26" t="s">
        <v>26</v>
      </c>
      <c r="D103" s="27">
        <f>VLOOKUP($D$93&amp;"-"&amp;C103,'Sugestão de Investimento'!B:E,4,FALSE)</f>
        <v>0.1</v>
      </c>
      <c r="E103" s="28">
        <f t="shared" si="1"/>
        <v>240</v>
      </c>
    </row>
    <row r="104" spans="3:5" ht="18.75" x14ac:dyDescent="0.3">
      <c r="C104" s="26" t="s">
        <v>27</v>
      </c>
      <c r="D104" s="27">
        <f>VLOOKUP($D$93&amp;"-"&amp;C104,'Sugestão de Investimento'!B:E,4,FALSE)</f>
        <v>0.05</v>
      </c>
      <c r="E104" s="28">
        <f t="shared" si="1"/>
        <v>120</v>
      </c>
    </row>
    <row r="105" spans="3:5" ht="18.75" x14ac:dyDescent="0.3">
      <c r="C105" s="21"/>
      <c r="D105" s="21"/>
      <c r="E105" s="23">
        <f>SUM(E99:E104)</f>
        <v>2400</v>
      </c>
    </row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</sheetData>
  <mergeCells count="18">
    <mergeCell ref="C26:D26"/>
    <mergeCell ref="C20:D20"/>
    <mergeCell ref="C21:D21"/>
    <mergeCell ref="C22:D22"/>
    <mergeCell ref="C19:E19"/>
    <mergeCell ref="C25:E25"/>
    <mergeCell ref="C27:D27"/>
    <mergeCell ref="C28:D28"/>
    <mergeCell ref="C29:D29"/>
    <mergeCell ref="C30:D30"/>
    <mergeCell ref="C33:D33"/>
    <mergeCell ref="C80:D80"/>
    <mergeCell ref="C84:D84"/>
    <mergeCell ref="C75:E75"/>
    <mergeCell ref="C76:D76"/>
    <mergeCell ref="C77:D77"/>
    <mergeCell ref="C78:D78"/>
    <mergeCell ref="C79:D79"/>
  </mergeCells>
  <dataValidations count="1">
    <dataValidation type="list" allowBlank="1" showInputMessage="1" showErrorMessage="1" sqref="D41 D93" xr:uid="{4512A448-0A99-4C5C-B933-20ED2DE61872}">
      <formula1>"Conservador,Moderado,Agressivo"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9FF4F-B424-4212-885C-A2DCC73E8273}">
  <dimension ref="A1:F69"/>
  <sheetViews>
    <sheetView showGridLines="0" showRowColHeaders="0" tabSelected="1" topLeftCell="A17" zoomScale="85" zoomScaleNormal="85" workbookViewId="0">
      <selection activeCell="E30" sqref="E30"/>
    </sheetView>
  </sheetViews>
  <sheetFormatPr defaultColWidth="0" defaultRowHeight="15" zeroHeight="1" x14ac:dyDescent="0.25"/>
  <cols>
    <col min="1" max="1" width="9.140625" style="1" customWidth="1"/>
    <col min="2" max="2" width="2.140625" style="1" hidden="1" customWidth="1"/>
    <col min="3" max="3" width="41" style="1" bestFit="1" customWidth="1"/>
    <col min="4" max="4" width="24.5703125" style="1" bestFit="1" customWidth="1"/>
    <col min="5" max="5" width="16.28515625" style="1" bestFit="1" customWidth="1"/>
    <col min="6" max="6" width="10.140625" style="1" customWidth="1"/>
    <col min="7" max="16384" width="9.140625" style="1" hidden="1"/>
  </cols>
  <sheetData>
    <row r="1" spans="3:5" x14ac:dyDescent="0.25"/>
    <row r="2" spans="3:5" x14ac:dyDescent="0.25"/>
    <row r="3" spans="3:5" x14ac:dyDescent="0.25"/>
    <row r="4" spans="3:5" x14ac:dyDescent="0.25"/>
    <row r="5" spans="3:5" x14ac:dyDescent="0.25"/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ht="15.75" thickBot="1" x14ac:dyDescent="0.3"/>
    <row r="14" spans="3:5" ht="21.75" thickBot="1" x14ac:dyDescent="0.3">
      <c r="C14" s="93" t="s">
        <v>15</v>
      </c>
      <c r="D14" s="94"/>
      <c r="E14" s="95"/>
    </row>
    <row r="15" spans="3:5" ht="18.75" x14ac:dyDescent="0.25">
      <c r="C15" s="83" t="s">
        <v>14</v>
      </c>
      <c r="D15" s="84"/>
      <c r="E15" s="9">
        <v>8000</v>
      </c>
    </row>
    <row r="16" spans="3:5" ht="18.75" x14ac:dyDescent="0.25">
      <c r="C16" s="85" t="s">
        <v>13</v>
      </c>
      <c r="D16" s="86"/>
      <c r="E16" s="8">
        <v>8.8999999999999999E-3</v>
      </c>
    </row>
    <row r="17" spans="1:5" ht="18.75" x14ac:dyDescent="0.25">
      <c r="C17" s="85" t="s">
        <v>35</v>
      </c>
      <c r="D17" s="86"/>
      <c r="E17" s="48">
        <v>80000</v>
      </c>
    </row>
    <row r="18" spans="1:5" ht="19.5" thickBot="1" x14ac:dyDescent="0.3">
      <c r="C18" s="96" t="s">
        <v>36</v>
      </c>
      <c r="D18" s="97"/>
      <c r="E18" s="10">
        <f>E15*10%</f>
        <v>800</v>
      </c>
    </row>
    <row r="19" spans="1:5" x14ac:dyDescent="0.25"/>
    <row r="20" spans="1:5" ht="15.75" thickBot="1" x14ac:dyDescent="0.3"/>
    <row r="21" spans="1:5" ht="21.75" thickBot="1" x14ac:dyDescent="0.3">
      <c r="C21" s="80" t="s">
        <v>37</v>
      </c>
      <c r="D21" s="81"/>
      <c r="E21" s="82"/>
    </row>
    <row r="22" spans="1:5" ht="18.75" x14ac:dyDescent="0.25">
      <c r="C22" s="83" t="s">
        <v>1</v>
      </c>
      <c r="D22" s="84"/>
      <c r="E22" s="9">
        <f>Valor_para_Carro</f>
        <v>800</v>
      </c>
    </row>
    <row r="23" spans="1:5" ht="18.75" x14ac:dyDescent="0.25">
      <c r="C23" s="85" t="s">
        <v>2</v>
      </c>
      <c r="D23" s="86"/>
      <c r="E23" s="7">
        <v>6</v>
      </c>
    </row>
    <row r="24" spans="1:5" ht="19.5" thickBot="1" x14ac:dyDescent="0.3">
      <c r="C24" s="87" t="s">
        <v>3</v>
      </c>
      <c r="D24" s="88"/>
      <c r="E24" s="14">
        <v>1.0319999999999999E-2</v>
      </c>
    </row>
    <row r="25" spans="1:5" ht="18.75" x14ac:dyDescent="0.25">
      <c r="C25" s="89" t="s">
        <v>4</v>
      </c>
      <c r="D25" s="90"/>
      <c r="E25" s="16">
        <f>FV(E24,Tempo_para_Carro*12,E22*-1)</f>
        <v>84831.522609512744</v>
      </c>
    </row>
    <row r="26" spans="1:5" ht="19.5" thickBot="1" x14ac:dyDescent="0.3">
      <c r="C26" s="91" t="s">
        <v>5</v>
      </c>
      <c r="D26" s="92"/>
      <c r="E26" s="15">
        <f>Valor_Acumulado_Carro*Taxa_rendimento_Carro</f>
        <v>875.46131333017149</v>
      </c>
    </row>
    <row r="27" spans="1:5" x14ac:dyDescent="0.25"/>
    <row r="28" spans="1:5" ht="15.75" thickBot="1" x14ac:dyDescent="0.3"/>
    <row r="29" spans="1:5" ht="21.75" thickBot="1" x14ac:dyDescent="0.3">
      <c r="C29" s="78" t="s">
        <v>38</v>
      </c>
      <c r="D29" s="79"/>
      <c r="E29" s="55" t="s">
        <v>12</v>
      </c>
    </row>
    <row r="30" spans="1:5" ht="18.75" x14ac:dyDescent="0.25">
      <c r="A30" s="4">
        <v>1</v>
      </c>
      <c r="C30" s="49" t="s">
        <v>39</v>
      </c>
      <c r="D30" s="50">
        <f t="shared" ref="D30:D35" si="0">FV(Taxa_rendimento_Carro,A30*12,$E$22*-1)</f>
        <v>10164.082941960862</v>
      </c>
      <c r="E30" s="51">
        <f t="shared" ref="E30:E35" si="1">D30*Taxa_rendimento_Carro</f>
        <v>104.89333596103609</v>
      </c>
    </row>
    <row r="31" spans="1:5" ht="18.75" x14ac:dyDescent="0.25">
      <c r="A31" s="4">
        <v>2</v>
      </c>
      <c r="C31" s="49" t="s">
        <v>6</v>
      </c>
      <c r="D31" s="50">
        <f t="shared" si="0"/>
        <v>21660.846592380392</v>
      </c>
      <c r="E31" s="51">
        <f t="shared" si="1"/>
        <v>223.53993683336563</v>
      </c>
    </row>
    <row r="32" spans="1:5" ht="18.75" x14ac:dyDescent="0.25">
      <c r="A32" s="4">
        <v>3</v>
      </c>
      <c r="C32" s="49" t="s">
        <v>40</v>
      </c>
      <c r="D32" s="50">
        <f t="shared" si="0"/>
        <v>34665.027607860029</v>
      </c>
      <c r="E32" s="51">
        <f t="shared" si="1"/>
        <v>357.74308491311547</v>
      </c>
    </row>
    <row r="33" spans="1:5" ht="18.75" x14ac:dyDescent="0.25">
      <c r="A33" s="4">
        <v>4</v>
      </c>
      <c r="C33" s="49" t="s">
        <v>42</v>
      </c>
      <c r="D33" s="50">
        <f t="shared" si="0"/>
        <v>49374.273533533204</v>
      </c>
      <c r="E33" s="51">
        <f t="shared" si="1"/>
        <v>509.54250286606265</v>
      </c>
    </row>
    <row r="34" spans="1:5" ht="18.75" x14ac:dyDescent="0.25">
      <c r="A34" s="4">
        <v>5</v>
      </c>
      <c r="C34" s="49" t="s">
        <v>7</v>
      </c>
      <c r="D34" s="50">
        <f t="shared" si="0"/>
        <v>66012.146802475312</v>
      </c>
      <c r="E34" s="51">
        <f t="shared" si="1"/>
        <v>681.24535500154514</v>
      </c>
    </row>
    <row r="35" spans="1:5" ht="19.5" thickBot="1" x14ac:dyDescent="0.3">
      <c r="A35" s="4">
        <v>6</v>
      </c>
      <c r="C35" s="52" t="s">
        <v>41</v>
      </c>
      <c r="D35" s="53">
        <f t="shared" si="0"/>
        <v>84831.522609512744</v>
      </c>
      <c r="E35" s="54">
        <f t="shared" si="1"/>
        <v>875.46131333017149</v>
      </c>
    </row>
    <row r="36" spans="1:5" ht="15.75" thickTop="1" x14ac:dyDescent="0.25"/>
    <row r="37" spans="1:5" x14ac:dyDescent="0.25"/>
    <row r="38" spans="1:5" s="3" customFormat="1" ht="19.5" customHeight="1" x14ac:dyDescent="0.3">
      <c r="C38" s="20" t="s">
        <v>16</v>
      </c>
      <c r="D38" s="22" t="s">
        <v>32</v>
      </c>
      <c r="E38" s="20"/>
    </row>
    <row r="39" spans="1:5" s="3" customFormat="1" ht="19.5" customHeight="1" x14ac:dyDescent="0.3">
      <c r="C39" s="24" t="s">
        <v>18</v>
      </c>
      <c r="D39" s="25">
        <f>Valor_para_Carro</f>
        <v>800</v>
      </c>
      <c r="E39" s="21"/>
    </row>
    <row r="40" spans="1:5" s="3" customFormat="1" ht="19.5" customHeight="1" x14ac:dyDescent="0.3"/>
    <row r="41" spans="1:5" s="3" customFormat="1" ht="19.5" customHeight="1" x14ac:dyDescent="0.3"/>
    <row r="42" spans="1:5" s="3" customFormat="1" ht="19.5" customHeight="1" x14ac:dyDescent="0.3">
      <c r="C42" s="29" t="s">
        <v>19</v>
      </c>
      <c r="D42" s="29" t="s">
        <v>20</v>
      </c>
      <c r="E42" s="29" t="s">
        <v>21</v>
      </c>
    </row>
    <row r="43" spans="1:5" s="3" customFormat="1" ht="19.5" customHeight="1" x14ac:dyDescent="0.3">
      <c r="C43" s="26" t="s">
        <v>22</v>
      </c>
      <c r="D43" s="27">
        <f>VLOOKUP($D$38&amp;"-"&amp;C43,'FIIs Para comprar Carro'!B:E,4,FALSE)</f>
        <v>0.3</v>
      </c>
      <c r="E43" s="28">
        <f>D43*$D$39</f>
        <v>240</v>
      </c>
    </row>
    <row r="44" spans="1:5" s="3" customFormat="1" ht="19.5" customHeight="1" x14ac:dyDescent="0.3">
      <c r="C44" s="26" t="s">
        <v>23</v>
      </c>
      <c r="D44" s="27">
        <f>VLOOKUP($D$38&amp;"-"&amp;C44,'FIIs Para comprar Carro'!B:E,4,FALSE)</f>
        <v>0.25</v>
      </c>
      <c r="E44" s="28">
        <f t="shared" ref="E44:E48" si="2">D44*$D$39</f>
        <v>200</v>
      </c>
    </row>
    <row r="45" spans="1:5" s="3" customFormat="1" ht="19.5" customHeight="1" x14ac:dyDescent="0.3">
      <c r="C45" s="26" t="s">
        <v>24</v>
      </c>
      <c r="D45" s="27">
        <f>VLOOKUP($D$38&amp;"-"&amp;C45,'FIIs Para comprar Carro'!B:E,4,FALSE)</f>
        <v>0.15</v>
      </c>
      <c r="E45" s="28">
        <f t="shared" si="2"/>
        <v>120</v>
      </c>
    </row>
    <row r="46" spans="1:5" s="3" customFormat="1" ht="19.5" customHeight="1" x14ac:dyDescent="0.3">
      <c r="C46" s="26" t="s">
        <v>25</v>
      </c>
      <c r="D46" s="27">
        <f>VLOOKUP($D$38&amp;"-"&amp;C46,'FIIs Para comprar Carro'!B:E,4,FALSE)</f>
        <v>0.1</v>
      </c>
      <c r="E46" s="28">
        <f t="shared" si="2"/>
        <v>80</v>
      </c>
    </row>
    <row r="47" spans="1:5" s="3" customFormat="1" ht="19.5" customHeight="1" x14ac:dyDescent="0.3">
      <c r="C47" s="26" t="s">
        <v>26</v>
      </c>
      <c r="D47" s="27">
        <f>VLOOKUP($D$38&amp;"-"&amp;C47,'FIIs Para comprar Carro'!B:E,4,FALSE)</f>
        <v>0.1</v>
      </c>
      <c r="E47" s="28">
        <f t="shared" si="2"/>
        <v>80</v>
      </c>
    </row>
    <row r="48" spans="1:5" s="3" customFormat="1" ht="19.5" customHeight="1" x14ac:dyDescent="0.3">
      <c r="C48" s="26" t="s">
        <v>27</v>
      </c>
      <c r="D48" s="27">
        <f>VLOOKUP($D$38&amp;"-"&amp;C48,'FIIs Para comprar Carro'!B:E,4,FALSE)</f>
        <v>0.1</v>
      </c>
      <c r="E48" s="28">
        <f t="shared" si="2"/>
        <v>80</v>
      </c>
    </row>
    <row r="49" spans="3:5" s="3" customFormat="1" ht="19.5" customHeight="1" x14ac:dyDescent="0.3">
      <c r="C49" s="21"/>
      <c r="D49" s="21"/>
      <c r="E49" s="23">
        <f>SUM(E43:E48)</f>
        <v>800</v>
      </c>
    </row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x14ac:dyDescent="0.25"/>
    <row r="66" x14ac:dyDescent="0.25"/>
    <row r="67" x14ac:dyDescent="0.25"/>
    <row r="68" x14ac:dyDescent="0.25"/>
    <row r="69" x14ac:dyDescent="0.25"/>
  </sheetData>
  <mergeCells count="12">
    <mergeCell ref="C14:E14"/>
    <mergeCell ref="C15:D15"/>
    <mergeCell ref="C16:D16"/>
    <mergeCell ref="C18:D18"/>
    <mergeCell ref="C17:D17"/>
    <mergeCell ref="C29:D29"/>
    <mergeCell ref="C21:E21"/>
    <mergeCell ref="C22:D22"/>
    <mergeCell ref="C23:D23"/>
    <mergeCell ref="C24:D24"/>
    <mergeCell ref="C25:D25"/>
    <mergeCell ref="C26:D26"/>
  </mergeCells>
  <dataValidations count="1">
    <dataValidation type="list" allowBlank="1" showInputMessage="1" showErrorMessage="1" sqref="D38" xr:uid="{1D774B2A-52E6-483C-990A-06D3EF463531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AE35-629C-41ED-A965-1B7CCD0C08F3}">
  <dimension ref="B2:E21"/>
  <sheetViews>
    <sheetView showGridLines="0" showRowColHeaders="0" workbookViewId="0">
      <selection activeCell="D9" sqref="D9"/>
    </sheetView>
  </sheetViews>
  <sheetFormatPr defaultRowHeight="15" x14ac:dyDescent="0.25"/>
  <cols>
    <col min="1" max="1" width="9.140625" style="1"/>
    <col min="2" max="2" width="31.28515625" style="1" bestFit="1" customWidth="1"/>
    <col min="3" max="3" width="15.5703125" style="1" bestFit="1" customWidth="1"/>
    <col min="4" max="4" width="24.42578125" style="1" bestFit="1" customWidth="1"/>
    <col min="5" max="16384" width="9.140625" style="1"/>
  </cols>
  <sheetData>
    <row r="2" spans="2:5" ht="15.75" thickBot="1" x14ac:dyDescent="0.3"/>
    <row r="3" spans="2:5" ht="18.75" x14ac:dyDescent="0.25">
      <c r="B3" s="32" t="s">
        <v>30</v>
      </c>
      <c r="C3" s="33" t="s">
        <v>28</v>
      </c>
      <c r="D3" s="34" t="s">
        <v>19</v>
      </c>
      <c r="E3" s="35" t="s">
        <v>31</v>
      </c>
    </row>
    <row r="4" spans="2:5" ht="18.75" x14ac:dyDescent="0.25">
      <c r="B4" s="36" t="str">
        <f>C4&amp;"-"&amp;D4</f>
        <v>Conservador-PAPEL</v>
      </c>
      <c r="C4" s="30" t="s">
        <v>29</v>
      </c>
      <c r="D4" s="31" t="s">
        <v>22</v>
      </c>
      <c r="E4" s="37">
        <v>0.3</v>
      </c>
    </row>
    <row r="5" spans="2:5" ht="18.75" x14ac:dyDescent="0.25">
      <c r="B5" s="36" t="str">
        <f t="shared" ref="B5:B21" si="0">C5&amp;"-"&amp;D5</f>
        <v>Conservador-TIJOLO</v>
      </c>
      <c r="C5" s="30" t="s">
        <v>29</v>
      </c>
      <c r="D5" s="31" t="s">
        <v>23</v>
      </c>
      <c r="E5" s="37">
        <v>0.5</v>
      </c>
    </row>
    <row r="6" spans="2:5" ht="18.75" x14ac:dyDescent="0.25">
      <c r="B6" s="36" t="str">
        <f t="shared" si="0"/>
        <v>Conservador-HIBRIDOS</v>
      </c>
      <c r="C6" s="30" t="s">
        <v>29</v>
      </c>
      <c r="D6" s="31" t="s">
        <v>24</v>
      </c>
      <c r="E6" s="37">
        <v>0.1</v>
      </c>
    </row>
    <row r="7" spans="2:5" ht="18.75" x14ac:dyDescent="0.25">
      <c r="B7" s="36" t="str">
        <f t="shared" si="0"/>
        <v>Conservador-FOFS</v>
      </c>
      <c r="C7" s="30" t="s">
        <v>29</v>
      </c>
      <c r="D7" s="31" t="s">
        <v>25</v>
      </c>
      <c r="E7" s="37">
        <v>0.05</v>
      </c>
    </row>
    <row r="8" spans="2:5" ht="18.75" x14ac:dyDescent="0.25">
      <c r="B8" s="36" t="str">
        <f t="shared" si="0"/>
        <v>Conservador-DESENVOLVIMENTO</v>
      </c>
      <c r="C8" s="30" t="s">
        <v>29</v>
      </c>
      <c r="D8" s="31" t="s">
        <v>26</v>
      </c>
      <c r="E8" s="37">
        <v>0.05</v>
      </c>
    </row>
    <row r="9" spans="2:5" ht="18.75" x14ac:dyDescent="0.25">
      <c r="B9" s="36" t="str">
        <f t="shared" si="0"/>
        <v>Conservador-HOTELARIAS</v>
      </c>
      <c r="C9" s="30" t="s">
        <v>29</v>
      </c>
      <c r="D9" s="31" t="s">
        <v>27</v>
      </c>
      <c r="E9" s="37">
        <v>0</v>
      </c>
    </row>
    <row r="10" spans="2:5" ht="18.75" x14ac:dyDescent="0.25">
      <c r="B10" s="36" t="str">
        <f t="shared" si="0"/>
        <v>Moderado-PAPEL</v>
      </c>
      <c r="C10" s="30" t="s">
        <v>32</v>
      </c>
      <c r="D10" s="31" t="s">
        <v>22</v>
      </c>
      <c r="E10" s="37">
        <v>0.22</v>
      </c>
    </row>
    <row r="11" spans="2:5" ht="18.75" x14ac:dyDescent="0.25">
      <c r="B11" s="36" t="str">
        <f t="shared" si="0"/>
        <v>Moderado-TIJOLO</v>
      </c>
      <c r="C11" s="30" t="s">
        <v>32</v>
      </c>
      <c r="D11" s="31" t="s">
        <v>23</v>
      </c>
      <c r="E11" s="37">
        <v>0.35</v>
      </c>
    </row>
    <row r="12" spans="2:5" ht="18.75" x14ac:dyDescent="0.25">
      <c r="B12" s="36" t="str">
        <f t="shared" si="0"/>
        <v>Moderado-HIBRIDOS</v>
      </c>
      <c r="C12" s="30" t="s">
        <v>32</v>
      </c>
      <c r="D12" s="31" t="s">
        <v>24</v>
      </c>
      <c r="E12" s="37">
        <v>0.18</v>
      </c>
    </row>
    <row r="13" spans="2:5" ht="18.75" x14ac:dyDescent="0.25">
      <c r="B13" s="36" t="str">
        <f t="shared" si="0"/>
        <v>Moderado-FOFS</v>
      </c>
      <c r="C13" s="30" t="s">
        <v>32</v>
      </c>
      <c r="D13" s="31" t="s">
        <v>25</v>
      </c>
      <c r="E13" s="37">
        <v>0.05</v>
      </c>
    </row>
    <row r="14" spans="2:5" ht="18.75" x14ac:dyDescent="0.25">
      <c r="B14" s="36" t="str">
        <f t="shared" si="0"/>
        <v>Moderado-DESENVOLVIMENTO</v>
      </c>
      <c r="C14" s="30" t="s">
        <v>32</v>
      </c>
      <c r="D14" s="31" t="s">
        <v>26</v>
      </c>
      <c r="E14" s="37">
        <v>0.1</v>
      </c>
    </row>
    <row r="15" spans="2:5" ht="18.75" x14ac:dyDescent="0.25">
      <c r="B15" s="36" t="str">
        <f t="shared" si="0"/>
        <v>Moderado-HOTELARIAS</v>
      </c>
      <c r="C15" s="30" t="s">
        <v>32</v>
      </c>
      <c r="D15" s="31" t="s">
        <v>27</v>
      </c>
      <c r="E15" s="37">
        <v>0.1</v>
      </c>
    </row>
    <row r="16" spans="2:5" ht="18.75" x14ac:dyDescent="0.25">
      <c r="B16" s="36" t="str">
        <f t="shared" si="0"/>
        <v>Agressivo-PAPEL</v>
      </c>
      <c r="C16" s="30" t="s">
        <v>17</v>
      </c>
      <c r="D16" s="31" t="s">
        <v>22</v>
      </c>
      <c r="E16" s="37">
        <v>0.55000000000000004</v>
      </c>
    </row>
    <row r="17" spans="2:5" ht="18.75" x14ac:dyDescent="0.25">
      <c r="B17" s="36" t="str">
        <f t="shared" si="0"/>
        <v>Agressivo-TIJOLO</v>
      </c>
      <c r="C17" s="30" t="s">
        <v>17</v>
      </c>
      <c r="D17" s="31" t="s">
        <v>23</v>
      </c>
      <c r="E17" s="37">
        <v>0.15</v>
      </c>
    </row>
    <row r="18" spans="2:5" ht="18.75" x14ac:dyDescent="0.25">
      <c r="B18" s="36" t="str">
        <f t="shared" si="0"/>
        <v>Agressivo-HIBRIDOS</v>
      </c>
      <c r="C18" s="30" t="s">
        <v>17</v>
      </c>
      <c r="D18" s="31" t="s">
        <v>24</v>
      </c>
      <c r="E18" s="37">
        <v>0</v>
      </c>
    </row>
    <row r="19" spans="2:5" ht="18.75" x14ac:dyDescent="0.25">
      <c r="B19" s="36" t="str">
        <f t="shared" si="0"/>
        <v>Agressivo-FOFS</v>
      </c>
      <c r="C19" s="30" t="s">
        <v>17</v>
      </c>
      <c r="D19" s="31" t="s">
        <v>25</v>
      </c>
      <c r="E19" s="37">
        <v>0.05</v>
      </c>
    </row>
    <row r="20" spans="2:5" ht="18.75" x14ac:dyDescent="0.25">
      <c r="B20" s="36" t="str">
        <f t="shared" si="0"/>
        <v>Agressivo-DESENVOLVIMENTO</v>
      </c>
      <c r="C20" s="30" t="s">
        <v>17</v>
      </c>
      <c r="D20" s="31" t="s">
        <v>26</v>
      </c>
      <c r="E20" s="37">
        <v>0.15</v>
      </c>
    </row>
    <row r="21" spans="2:5" ht="19.5" thickBot="1" x14ac:dyDescent="0.3">
      <c r="B21" s="38" t="str">
        <f t="shared" si="0"/>
        <v>Agressivo-HOTELARIAS</v>
      </c>
      <c r="C21" s="39" t="s">
        <v>17</v>
      </c>
      <c r="D21" s="40" t="s">
        <v>27</v>
      </c>
      <c r="E21" s="41">
        <v>0.1</v>
      </c>
    </row>
  </sheetData>
  <autoFilter ref="B3:E3" xr:uid="{8636AE35-629C-41ED-A965-1B7CCD0C08F3}"/>
  <dataValidations count="1">
    <dataValidation type="list" allowBlank="1" showInputMessage="1" showErrorMessage="1" sqref="C4:C9" xr:uid="{F4048A4A-DEA4-45CA-9092-BC79E3B3BFB2}">
      <formula1>"Conservador,Moderado,Agressivo"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C3311-D236-4675-977F-D46A14385359}">
  <dimension ref="B3:E22"/>
  <sheetViews>
    <sheetView showGridLines="0" showRowColHeaders="0" workbookViewId="0">
      <selection activeCell="J4" sqref="J4"/>
    </sheetView>
  </sheetViews>
  <sheetFormatPr defaultRowHeight="15" x14ac:dyDescent="0.25"/>
  <cols>
    <col min="1" max="1" width="9.140625" style="45"/>
    <col min="2" max="2" width="31.28515625" style="45" bestFit="1" customWidth="1"/>
    <col min="3" max="3" width="15.5703125" style="45" bestFit="1" customWidth="1"/>
    <col min="4" max="4" width="24.42578125" style="45" bestFit="1" customWidth="1"/>
    <col min="5" max="5" width="4.5703125" style="45" bestFit="1" customWidth="1"/>
    <col min="6" max="16384" width="9.140625" style="45"/>
  </cols>
  <sheetData>
    <row r="3" spans="2:5" ht="15.75" thickBot="1" x14ac:dyDescent="0.3"/>
    <row r="4" spans="2:5" ht="19.5" thickBot="1" x14ac:dyDescent="0.3">
      <c r="B4" s="60" t="s">
        <v>30</v>
      </c>
      <c r="C4" s="61" t="s">
        <v>28</v>
      </c>
      <c r="D4" s="62" t="s">
        <v>19</v>
      </c>
      <c r="E4" s="63" t="s">
        <v>31</v>
      </c>
    </row>
    <row r="5" spans="2:5" ht="18.75" x14ac:dyDescent="0.25">
      <c r="B5" s="64" t="str">
        <f>C5&amp;"-"&amp;D5</f>
        <v>Conservador-PAPEL</v>
      </c>
      <c r="C5" s="67" t="s">
        <v>29</v>
      </c>
      <c r="D5" s="72" t="s">
        <v>22</v>
      </c>
      <c r="E5" s="75">
        <v>0.35</v>
      </c>
    </row>
    <row r="6" spans="2:5" ht="18.75" x14ac:dyDescent="0.25">
      <c r="B6" s="65" t="str">
        <f t="shared" ref="B6:B22" si="0">C6&amp;"-"&amp;D6</f>
        <v>Conservador-TIJOLO</v>
      </c>
      <c r="C6" s="68" t="s">
        <v>29</v>
      </c>
      <c r="D6" s="73" t="s">
        <v>23</v>
      </c>
      <c r="E6" s="76">
        <v>0.35</v>
      </c>
    </row>
    <row r="7" spans="2:5" ht="18.75" x14ac:dyDescent="0.25">
      <c r="B7" s="65" t="str">
        <f t="shared" si="0"/>
        <v>Conservador-HIBRIDOS</v>
      </c>
      <c r="C7" s="68" t="s">
        <v>29</v>
      </c>
      <c r="D7" s="73" t="s">
        <v>24</v>
      </c>
      <c r="E7" s="76">
        <v>0.1</v>
      </c>
    </row>
    <row r="8" spans="2:5" ht="18.75" x14ac:dyDescent="0.25">
      <c r="B8" s="65" t="str">
        <f t="shared" si="0"/>
        <v>Conservador-FOFS</v>
      </c>
      <c r="C8" s="68" t="s">
        <v>29</v>
      </c>
      <c r="D8" s="73" t="s">
        <v>25</v>
      </c>
      <c r="E8" s="76">
        <v>0.05</v>
      </c>
    </row>
    <row r="9" spans="2:5" ht="18.75" x14ac:dyDescent="0.25">
      <c r="B9" s="65" t="str">
        <f t="shared" si="0"/>
        <v>Conservador-DESENVOLVIMENTO</v>
      </c>
      <c r="C9" s="68" t="s">
        <v>29</v>
      </c>
      <c r="D9" s="73" t="s">
        <v>26</v>
      </c>
      <c r="E9" s="76">
        <v>0.1</v>
      </c>
    </row>
    <row r="10" spans="2:5" ht="18.75" x14ac:dyDescent="0.25">
      <c r="B10" s="65" t="str">
        <f t="shared" si="0"/>
        <v>Conservador-HOTELARIAS</v>
      </c>
      <c r="C10" s="68" t="s">
        <v>29</v>
      </c>
      <c r="D10" s="73" t="s">
        <v>27</v>
      </c>
      <c r="E10" s="76">
        <v>0.05</v>
      </c>
    </row>
    <row r="11" spans="2:5" ht="18.75" x14ac:dyDescent="0.25">
      <c r="B11" s="65" t="str">
        <f t="shared" si="0"/>
        <v>Moderado-PAPEL</v>
      </c>
      <c r="C11" s="69" t="s">
        <v>32</v>
      </c>
      <c r="D11" s="73" t="s">
        <v>22</v>
      </c>
      <c r="E11" s="76">
        <v>0.2</v>
      </c>
    </row>
    <row r="12" spans="2:5" ht="18.75" x14ac:dyDescent="0.25">
      <c r="B12" s="65" t="str">
        <f t="shared" si="0"/>
        <v>Moderado-TIJOLO</v>
      </c>
      <c r="C12" s="69" t="s">
        <v>32</v>
      </c>
      <c r="D12" s="73" t="s">
        <v>23</v>
      </c>
      <c r="E12" s="76">
        <v>0.3</v>
      </c>
    </row>
    <row r="13" spans="2:5" ht="18.75" x14ac:dyDescent="0.25">
      <c r="B13" s="65" t="str">
        <f t="shared" si="0"/>
        <v>Moderado-HIBRIDOS</v>
      </c>
      <c r="C13" s="69" t="s">
        <v>32</v>
      </c>
      <c r="D13" s="73" t="s">
        <v>24</v>
      </c>
      <c r="E13" s="76">
        <v>0.2</v>
      </c>
    </row>
    <row r="14" spans="2:5" ht="18.75" x14ac:dyDescent="0.25">
      <c r="B14" s="65" t="str">
        <f t="shared" si="0"/>
        <v>Moderado-FOFS</v>
      </c>
      <c r="C14" s="69" t="s">
        <v>32</v>
      </c>
      <c r="D14" s="73" t="s">
        <v>25</v>
      </c>
      <c r="E14" s="76">
        <v>0.1</v>
      </c>
    </row>
    <row r="15" spans="2:5" ht="18.75" x14ac:dyDescent="0.25">
      <c r="B15" s="65" t="str">
        <f t="shared" si="0"/>
        <v>Moderado-DESENVOLVIMENTO</v>
      </c>
      <c r="C15" s="69" t="s">
        <v>32</v>
      </c>
      <c r="D15" s="73" t="s">
        <v>26</v>
      </c>
      <c r="E15" s="76">
        <v>0.1</v>
      </c>
    </row>
    <row r="16" spans="2:5" ht="18.75" x14ac:dyDescent="0.25">
      <c r="B16" s="65" t="str">
        <f t="shared" si="0"/>
        <v>Moderado-HOTELARIAS</v>
      </c>
      <c r="C16" s="69" t="s">
        <v>32</v>
      </c>
      <c r="D16" s="73" t="s">
        <v>27</v>
      </c>
      <c r="E16" s="76">
        <v>0.1</v>
      </c>
    </row>
    <row r="17" spans="2:5" ht="18.75" x14ac:dyDescent="0.25">
      <c r="B17" s="65" t="str">
        <f t="shared" si="0"/>
        <v>Agressivo-PAPEL</v>
      </c>
      <c r="C17" s="70" t="s">
        <v>17</v>
      </c>
      <c r="D17" s="73" t="s">
        <v>22</v>
      </c>
      <c r="E17" s="76">
        <v>0.45</v>
      </c>
    </row>
    <row r="18" spans="2:5" ht="18.75" x14ac:dyDescent="0.25">
      <c r="B18" s="65" t="str">
        <f t="shared" si="0"/>
        <v>Agressivo-TIJOLO</v>
      </c>
      <c r="C18" s="70" t="s">
        <v>17</v>
      </c>
      <c r="D18" s="73" t="s">
        <v>23</v>
      </c>
      <c r="E18" s="76">
        <v>0.1</v>
      </c>
    </row>
    <row r="19" spans="2:5" ht="18.75" x14ac:dyDescent="0.25">
      <c r="B19" s="65" t="str">
        <f t="shared" si="0"/>
        <v>Agressivo-HIBRIDOS</v>
      </c>
      <c r="C19" s="70" t="s">
        <v>17</v>
      </c>
      <c r="D19" s="73" t="s">
        <v>24</v>
      </c>
      <c r="E19" s="76">
        <v>0.05</v>
      </c>
    </row>
    <row r="20" spans="2:5" ht="18.75" x14ac:dyDescent="0.25">
      <c r="B20" s="65" t="str">
        <f t="shared" si="0"/>
        <v>Agressivo-FOFS</v>
      </c>
      <c r="C20" s="70" t="s">
        <v>17</v>
      </c>
      <c r="D20" s="73" t="s">
        <v>25</v>
      </c>
      <c r="E20" s="76">
        <v>0.1</v>
      </c>
    </row>
    <row r="21" spans="2:5" ht="18.75" x14ac:dyDescent="0.25">
      <c r="B21" s="65" t="str">
        <f t="shared" si="0"/>
        <v>Agressivo-DESENVOLVIMENTO</v>
      </c>
      <c r="C21" s="70" t="s">
        <v>17</v>
      </c>
      <c r="D21" s="73" t="s">
        <v>26</v>
      </c>
      <c r="E21" s="76">
        <v>0.15</v>
      </c>
    </row>
    <row r="22" spans="2:5" ht="19.5" thickBot="1" x14ac:dyDescent="0.3">
      <c r="B22" s="66" t="str">
        <f t="shared" si="0"/>
        <v>Agressivo-HOTELARIAS</v>
      </c>
      <c r="C22" s="71" t="s">
        <v>17</v>
      </c>
      <c r="D22" s="74" t="s">
        <v>27</v>
      </c>
      <c r="E22" s="77">
        <v>0.15</v>
      </c>
    </row>
  </sheetData>
  <dataValidations count="1">
    <dataValidation type="list" allowBlank="1" showInputMessage="1" showErrorMessage="1" sqref="C5:C10" xr:uid="{34044E4F-B9F3-456F-A854-1FD17C464A5D}">
      <formula1>"Conservador,Moderado,Agressivo"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0FEB-2F70-4480-9DB8-E477CB392613}">
  <dimension ref="B2:E21"/>
  <sheetViews>
    <sheetView showGridLines="0" showRowColHeaders="0" topLeftCell="A3" workbookViewId="0">
      <selection activeCell="E16" sqref="E16"/>
    </sheetView>
  </sheetViews>
  <sheetFormatPr defaultRowHeight="15" x14ac:dyDescent="0.25"/>
  <cols>
    <col min="1" max="1" width="9.140625" style="1"/>
    <col min="2" max="2" width="31.28515625" style="1" bestFit="1" customWidth="1"/>
    <col min="3" max="3" width="15.5703125" style="1" bestFit="1" customWidth="1"/>
    <col min="4" max="4" width="24.42578125" style="1" bestFit="1" customWidth="1"/>
    <col min="5" max="5" width="4.5703125" style="1" bestFit="1" customWidth="1"/>
    <col min="6" max="16384" width="9.140625" style="1"/>
  </cols>
  <sheetData>
    <row r="2" spans="2:5" ht="15.75" thickBot="1" x14ac:dyDescent="0.3"/>
    <row r="3" spans="2:5" ht="18.75" x14ac:dyDescent="0.25">
      <c r="B3" s="32" t="s">
        <v>30</v>
      </c>
      <c r="C3" s="33" t="s">
        <v>28</v>
      </c>
      <c r="D3" s="34" t="s">
        <v>19</v>
      </c>
      <c r="E3" s="35" t="s">
        <v>31</v>
      </c>
    </row>
    <row r="4" spans="2:5" ht="18.75" x14ac:dyDescent="0.25">
      <c r="B4" s="36" t="str">
        <f>C4&amp;"-"&amp;D4</f>
        <v>Conservador-PAPEL</v>
      </c>
      <c r="C4" s="56" t="s">
        <v>29</v>
      </c>
      <c r="D4" s="31" t="s">
        <v>22</v>
      </c>
      <c r="E4" s="37">
        <v>0.25</v>
      </c>
    </row>
    <row r="5" spans="2:5" ht="18.75" x14ac:dyDescent="0.25">
      <c r="B5" s="36" t="str">
        <f t="shared" ref="B5:B21" si="0">C5&amp;"-"&amp;D5</f>
        <v>Conservador-TIJOLO</v>
      </c>
      <c r="C5" s="56" t="s">
        <v>29</v>
      </c>
      <c r="D5" s="31" t="s">
        <v>23</v>
      </c>
      <c r="E5" s="37">
        <v>0.45</v>
      </c>
    </row>
    <row r="6" spans="2:5" ht="18.75" x14ac:dyDescent="0.25">
      <c r="B6" s="36" t="str">
        <f t="shared" si="0"/>
        <v>Conservador-HIBRIDOS</v>
      </c>
      <c r="C6" s="56" t="s">
        <v>29</v>
      </c>
      <c r="D6" s="31" t="s">
        <v>24</v>
      </c>
      <c r="E6" s="37">
        <v>0.1</v>
      </c>
    </row>
    <row r="7" spans="2:5" ht="18.75" x14ac:dyDescent="0.25">
      <c r="B7" s="36" t="str">
        <f t="shared" si="0"/>
        <v>Conservador-FOFS</v>
      </c>
      <c r="C7" s="56" t="s">
        <v>29</v>
      </c>
      <c r="D7" s="31" t="s">
        <v>25</v>
      </c>
      <c r="E7" s="37">
        <v>0.05</v>
      </c>
    </row>
    <row r="8" spans="2:5" ht="18.75" x14ac:dyDescent="0.25">
      <c r="B8" s="36" t="str">
        <f t="shared" si="0"/>
        <v>Conservador-DESENVOLVIMENTO</v>
      </c>
      <c r="C8" s="56" t="s">
        <v>29</v>
      </c>
      <c r="D8" s="31" t="s">
        <v>26</v>
      </c>
      <c r="E8" s="37">
        <v>0.1</v>
      </c>
    </row>
    <row r="9" spans="2:5" ht="18.75" x14ac:dyDescent="0.25">
      <c r="B9" s="36" t="str">
        <f t="shared" si="0"/>
        <v>Conservador-HOTELARIAS</v>
      </c>
      <c r="C9" s="56" t="s">
        <v>29</v>
      </c>
      <c r="D9" s="31" t="s">
        <v>27</v>
      </c>
      <c r="E9" s="37">
        <v>0.05</v>
      </c>
    </row>
    <row r="10" spans="2:5" ht="18.75" x14ac:dyDescent="0.25">
      <c r="B10" s="36" t="str">
        <f t="shared" si="0"/>
        <v>Moderado-PAPEL</v>
      </c>
      <c r="C10" s="57" t="s">
        <v>32</v>
      </c>
      <c r="D10" s="31" t="s">
        <v>22</v>
      </c>
      <c r="E10" s="37">
        <v>0.3</v>
      </c>
    </row>
    <row r="11" spans="2:5" ht="18.75" x14ac:dyDescent="0.25">
      <c r="B11" s="36" t="str">
        <f t="shared" si="0"/>
        <v>Moderado-TIJOLO</v>
      </c>
      <c r="C11" s="57" t="s">
        <v>32</v>
      </c>
      <c r="D11" s="31" t="s">
        <v>23</v>
      </c>
      <c r="E11" s="37">
        <v>0.25</v>
      </c>
    </row>
    <row r="12" spans="2:5" ht="18.75" x14ac:dyDescent="0.25">
      <c r="B12" s="36" t="str">
        <f t="shared" si="0"/>
        <v>Moderado-HIBRIDOS</v>
      </c>
      <c r="C12" s="57" t="s">
        <v>32</v>
      </c>
      <c r="D12" s="31" t="s">
        <v>24</v>
      </c>
      <c r="E12" s="37">
        <v>0.15</v>
      </c>
    </row>
    <row r="13" spans="2:5" ht="18.75" x14ac:dyDescent="0.25">
      <c r="B13" s="36" t="str">
        <f t="shared" si="0"/>
        <v>Moderado-FOFS</v>
      </c>
      <c r="C13" s="57" t="s">
        <v>32</v>
      </c>
      <c r="D13" s="31" t="s">
        <v>25</v>
      </c>
      <c r="E13" s="37">
        <v>0.1</v>
      </c>
    </row>
    <row r="14" spans="2:5" ht="18.75" x14ac:dyDescent="0.25">
      <c r="B14" s="36" t="str">
        <f t="shared" si="0"/>
        <v>Moderado-DESENVOLVIMENTO</v>
      </c>
      <c r="C14" s="57" t="s">
        <v>32</v>
      </c>
      <c r="D14" s="31" t="s">
        <v>26</v>
      </c>
      <c r="E14" s="37">
        <v>0.1</v>
      </c>
    </row>
    <row r="15" spans="2:5" ht="18.75" x14ac:dyDescent="0.25">
      <c r="B15" s="36" t="str">
        <f t="shared" si="0"/>
        <v>Moderado-HOTELARIAS</v>
      </c>
      <c r="C15" s="57" t="s">
        <v>32</v>
      </c>
      <c r="D15" s="31" t="s">
        <v>27</v>
      </c>
      <c r="E15" s="37">
        <v>0.1</v>
      </c>
    </row>
    <row r="16" spans="2:5" ht="18.75" x14ac:dyDescent="0.25">
      <c r="B16" s="36" t="str">
        <f t="shared" si="0"/>
        <v>Agressivo-PAPEL</v>
      </c>
      <c r="C16" s="58" t="s">
        <v>17</v>
      </c>
      <c r="D16" s="31" t="s">
        <v>22</v>
      </c>
      <c r="E16" s="37">
        <v>0.1</v>
      </c>
    </row>
    <row r="17" spans="2:5" ht="18.75" x14ac:dyDescent="0.25">
      <c r="B17" s="36" t="str">
        <f t="shared" si="0"/>
        <v>Agressivo-TIJOLO</v>
      </c>
      <c r="C17" s="58" t="s">
        <v>17</v>
      </c>
      <c r="D17" s="31" t="s">
        <v>23</v>
      </c>
      <c r="E17" s="37">
        <v>0.4</v>
      </c>
    </row>
    <row r="18" spans="2:5" ht="18.75" x14ac:dyDescent="0.25">
      <c r="B18" s="36" t="str">
        <f t="shared" si="0"/>
        <v>Agressivo-HIBRIDOS</v>
      </c>
      <c r="C18" s="58" t="s">
        <v>17</v>
      </c>
      <c r="D18" s="31" t="s">
        <v>24</v>
      </c>
      <c r="E18" s="37">
        <v>0.1</v>
      </c>
    </row>
    <row r="19" spans="2:5" ht="18.75" x14ac:dyDescent="0.25">
      <c r="B19" s="36" t="str">
        <f t="shared" si="0"/>
        <v>Agressivo-FOFS</v>
      </c>
      <c r="C19" s="58" t="s">
        <v>17</v>
      </c>
      <c r="D19" s="31" t="s">
        <v>25</v>
      </c>
      <c r="E19" s="37">
        <v>0.1</v>
      </c>
    </row>
    <row r="20" spans="2:5" ht="18.75" x14ac:dyDescent="0.25">
      <c r="B20" s="36" t="str">
        <f t="shared" si="0"/>
        <v>Agressivo-DESENVOLVIMENTO</v>
      </c>
      <c r="C20" s="58" t="s">
        <v>17</v>
      </c>
      <c r="D20" s="31" t="s">
        <v>26</v>
      </c>
      <c r="E20" s="37">
        <v>0.15</v>
      </c>
    </row>
    <row r="21" spans="2:5" ht="19.5" thickBot="1" x14ac:dyDescent="0.3">
      <c r="B21" s="38" t="str">
        <f t="shared" si="0"/>
        <v>Agressivo-HOTELARIAS</v>
      </c>
      <c r="C21" s="59" t="s">
        <v>17</v>
      </c>
      <c r="D21" s="40" t="s">
        <v>27</v>
      </c>
      <c r="E21" s="41">
        <v>0.15</v>
      </c>
    </row>
  </sheetData>
  <dataValidations count="1">
    <dataValidation type="list" allowBlank="1" showInputMessage="1" showErrorMessage="1" sqref="C4:C9" xr:uid="{FA64BFEF-EE01-472E-90ED-456C0C9F0376}">
      <formula1>"Conservador,Moderado,Agressivo"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25</vt:i4>
      </vt:variant>
    </vt:vector>
  </HeadingPairs>
  <TitlesOfParts>
    <vt:vector size="30" baseType="lpstr">
      <vt:lpstr>Simulador de Investimentos</vt:lpstr>
      <vt:lpstr>Compra do carro</vt:lpstr>
      <vt:lpstr>Apoio</vt:lpstr>
      <vt:lpstr>Sugestão de Investimento</vt:lpstr>
      <vt:lpstr>FIIs Para comprar Carro</vt:lpstr>
      <vt:lpstr>Acumulado_Sugestao</vt:lpstr>
      <vt:lpstr>Aporte</vt:lpstr>
      <vt:lpstr>Dividendo_Carro</vt:lpstr>
      <vt:lpstr>Objetivo_Financeiro</vt:lpstr>
      <vt:lpstr>Patrimonio</vt:lpstr>
      <vt:lpstr>Patrimonio_10</vt:lpstr>
      <vt:lpstr>Patrimonio_2</vt:lpstr>
      <vt:lpstr>Patrimonio_30</vt:lpstr>
      <vt:lpstr>Patrimonio_5</vt:lpstr>
      <vt:lpstr>Qtd_Anos</vt:lpstr>
      <vt:lpstr>Renda_Mensal_10</vt:lpstr>
      <vt:lpstr>Renda_Mensal_2</vt:lpstr>
      <vt:lpstr>Renda_Mensal_20</vt:lpstr>
      <vt:lpstr>Renda_Mensal_5</vt:lpstr>
      <vt:lpstr>Rendimento_Carro</vt:lpstr>
      <vt:lpstr>Salario</vt:lpstr>
      <vt:lpstr>Salario_mes</vt:lpstr>
      <vt:lpstr>Sugestao_Investimento</vt:lpstr>
      <vt:lpstr>Taxa_Mensal</vt:lpstr>
      <vt:lpstr>Taxa_Nova_Simulacao</vt:lpstr>
      <vt:lpstr>Taxa_Rendimento</vt:lpstr>
      <vt:lpstr>Taxa_rendimento_Carro</vt:lpstr>
      <vt:lpstr>Tempo_para_Carro</vt:lpstr>
      <vt:lpstr>Valor_Acumulado_Carro</vt:lpstr>
      <vt:lpstr>Valor_para_Carro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Ivan Ramos</cp:lastModifiedBy>
  <cp:revision/>
  <dcterms:created xsi:type="dcterms:W3CDTF">2026-09-30T12:07:19Z</dcterms:created>
  <dcterms:modified xsi:type="dcterms:W3CDTF">2026-10-01T17:04:31Z</dcterms:modified>
  <cp:category/>
  <cp:contentStatus/>
</cp:coreProperties>
</file>